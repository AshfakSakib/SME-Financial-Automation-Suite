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Local\P\Main\"/>
    </mc:Choice>
  </mc:AlternateContent>
  <xr:revisionPtr revIDLastSave="0" documentId="13_ncr:1_{69B6CEB4-A4AD-4DFA-B708-9DC908A521FC}" xr6:coauthVersionLast="47" xr6:coauthVersionMax="47" xr10:uidLastSave="{00000000-0000-0000-0000-000000000000}"/>
  <bookViews>
    <workbookView xWindow="-120" yWindow="-120" windowWidth="29040" windowHeight="15720" activeTab="4" xr2:uid="{59397582-1B98-4043-949C-DF2A8BD7E3D8}"/>
  </bookViews>
  <sheets>
    <sheet name="December" sheetId="1" r:id="rId1"/>
    <sheet name="Empolyee" sheetId="4" r:id="rId2"/>
    <sheet name="List" sheetId="3" r:id="rId3"/>
    <sheet name="Sales" sheetId="7" r:id="rId4"/>
    <sheet name="Analysis" sheetId="8" r:id="rId5"/>
  </sheets>
  <definedNames>
    <definedName name="Organization">List!$A$2:$A$22</definedName>
  </definedNames>
  <calcPr calcId="191028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33" i="8"/>
  <c r="B31" i="8"/>
  <c r="P32" i="7"/>
  <c r="Q32" i="7" s="1"/>
  <c r="M32" i="7"/>
  <c r="K32" i="7"/>
  <c r="I32" i="7"/>
  <c r="C32" i="7"/>
  <c r="B32" i="7" s="1"/>
  <c r="P31" i="7"/>
  <c r="Q31" i="7" s="1"/>
  <c r="M31" i="7"/>
  <c r="K31" i="7"/>
  <c r="H31" i="7"/>
  <c r="I31" i="7" s="1"/>
  <c r="C31" i="7"/>
  <c r="B31" i="7" s="1"/>
  <c r="P30" i="7"/>
  <c r="Q30" i="7" s="1"/>
  <c r="M30" i="7"/>
  <c r="K30" i="7"/>
  <c r="H30" i="7"/>
  <c r="I30" i="7" s="1"/>
  <c r="C30" i="7"/>
  <c r="B30" i="7" s="1"/>
  <c r="P29" i="7"/>
  <c r="N29" i="7" s="1"/>
  <c r="O29" i="7" s="1"/>
  <c r="M29" i="7"/>
  <c r="K29" i="7"/>
  <c r="H29" i="7"/>
  <c r="I29" i="7" s="1"/>
  <c r="C29" i="7"/>
  <c r="B29" i="7"/>
  <c r="P28" i="7"/>
  <c r="Q28" i="7" s="1"/>
  <c r="M28" i="7"/>
  <c r="K28" i="7"/>
  <c r="H28" i="7"/>
  <c r="I28" i="7" s="1"/>
  <c r="C28" i="7"/>
  <c r="B28" i="7" s="1"/>
  <c r="P27" i="7"/>
  <c r="Q27" i="7" s="1"/>
  <c r="M27" i="7"/>
  <c r="K27" i="7"/>
  <c r="H27" i="7"/>
  <c r="I27" i="7" s="1"/>
  <c r="C27" i="7"/>
  <c r="B27" i="7" s="1"/>
  <c r="P26" i="7"/>
  <c r="Q26" i="7" s="1"/>
  <c r="M26" i="7"/>
  <c r="K26" i="7"/>
  <c r="H26" i="7"/>
  <c r="I26" i="7" s="1"/>
  <c r="C26" i="7"/>
  <c r="B26" i="7" s="1"/>
  <c r="P25" i="7"/>
  <c r="Q25" i="7" s="1"/>
  <c r="N25" i="7"/>
  <c r="O25" i="7" s="1"/>
  <c r="M25" i="7"/>
  <c r="K25" i="7"/>
  <c r="H25" i="7"/>
  <c r="I25" i="7" s="1"/>
  <c r="C25" i="7"/>
  <c r="B25" i="7" s="1"/>
  <c r="P24" i="7"/>
  <c r="Q24" i="7" s="1"/>
  <c r="M24" i="7"/>
  <c r="K24" i="7"/>
  <c r="H24" i="7"/>
  <c r="I24" i="7" s="1"/>
  <c r="C24" i="7"/>
  <c r="B24" i="7" s="1"/>
  <c r="P23" i="7"/>
  <c r="Q23" i="7" s="1"/>
  <c r="N23" i="7"/>
  <c r="O23" i="7" s="1"/>
  <c r="M23" i="7"/>
  <c r="K23" i="7"/>
  <c r="H23" i="7"/>
  <c r="I23" i="7" s="1"/>
  <c r="C23" i="7"/>
  <c r="B23" i="7" s="1"/>
  <c r="P22" i="7"/>
  <c r="Q22" i="7" s="1"/>
  <c r="N22" i="7"/>
  <c r="O22" i="7" s="1"/>
  <c r="M22" i="7"/>
  <c r="K22" i="7"/>
  <c r="H22" i="7"/>
  <c r="I22" i="7" s="1"/>
  <c r="C22" i="7"/>
  <c r="B22" i="7" s="1"/>
  <c r="P21" i="7"/>
  <c r="N21" i="7" s="1"/>
  <c r="O21" i="7" s="1"/>
  <c r="M21" i="7"/>
  <c r="K21" i="7"/>
  <c r="H21" i="7"/>
  <c r="I21" i="7" s="1"/>
  <c r="C21" i="7"/>
  <c r="B21" i="7"/>
  <c r="P20" i="7"/>
  <c r="Q20" i="7" s="1"/>
  <c r="M20" i="7"/>
  <c r="K20" i="7"/>
  <c r="H20" i="7"/>
  <c r="I20" i="7" s="1"/>
  <c r="C20" i="7"/>
  <c r="B20" i="7" s="1"/>
  <c r="P19" i="7"/>
  <c r="Q19" i="7" s="1"/>
  <c r="M19" i="7"/>
  <c r="K19" i="7"/>
  <c r="H19" i="7"/>
  <c r="I19" i="7" s="1"/>
  <c r="C19" i="7"/>
  <c r="B19" i="7" s="1"/>
  <c r="P18" i="7"/>
  <c r="Q18" i="7" s="1"/>
  <c r="N18" i="7"/>
  <c r="O18" i="7" s="1"/>
  <c r="M18" i="7"/>
  <c r="K18" i="7"/>
  <c r="H18" i="7"/>
  <c r="I18" i="7" s="1"/>
  <c r="C18" i="7"/>
  <c r="B18" i="7" s="1"/>
  <c r="P17" i="7"/>
  <c r="Q17" i="7" s="1"/>
  <c r="M17" i="7"/>
  <c r="K17" i="7"/>
  <c r="H17" i="7"/>
  <c r="I17" i="7" s="1"/>
  <c r="C17" i="7"/>
  <c r="B17" i="7" s="1"/>
  <c r="P16" i="7"/>
  <c r="Q16" i="7" s="1"/>
  <c r="N16" i="7"/>
  <c r="O16" i="7" s="1"/>
  <c r="M16" i="7"/>
  <c r="K16" i="7"/>
  <c r="H16" i="7"/>
  <c r="I16" i="7" s="1"/>
  <c r="C16" i="7"/>
  <c r="B16" i="7" s="1"/>
  <c r="P15" i="7"/>
  <c r="Q15" i="7" s="1"/>
  <c r="N15" i="7"/>
  <c r="O15" i="7" s="1"/>
  <c r="M15" i="7"/>
  <c r="K15" i="7"/>
  <c r="H15" i="7"/>
  <c r="I15" i="7" s="1"/>
  <c r="C15" i="7"/>
  <c r="B15" i="7"/>
  <c r="P14" i="7"/>
  <c r="Q14" i="7" s="1"/>
  <c r="M14" i="7"/>
  <c r="K14" i="7"/>
  <c r="H14" i="7"/>
  <c r="I14" i="7" s="1"/>
  <c r="C14" i="7"/>
  <c r="B14" i="7" s="1"/>
  <c r="P13" i="7"/>
  <c r="N13" i="7" s="1"/>
  <c r="O13" i="7" s="1"/>
  <c r="M13" i="7"/>
  <c r="K13" i="7"/>
  <c r="H13" i="7"/>
  <c r="I13" i="7" s="1"/>
  <c r="C13" i="7"/>
  <c r="B13" i="7" s="1"/>
  <c r="P12" i="7"/>
  <c r="Q12" i="7" s="1"/>
  <c r="N12" i="7"/>
  <c r="O12" i="7" s="1"/>
  <c r="M12" i="7"/>
  <c r="K12" i="7"/>
  <c r="H12" i="7"/>
  <c r="I12" i="7" s="1"/>
  <c r="C12" i="7"/>
  <c r="B12" i="7" s="1"/>
  <c r="P11" i="7"/>
  <c r="Q11" i="7" s="1"/>
  <c r="M11" i="7"/>
  <c r="K11" i="7"/>
  <c r="H11" i="7"/>
  <c r="I11" i="7" s="1"/>
  <c r="C11" i="7"/>
  <c r="B11" i="7"/>
  <c r="P10" i="7"/>
  <c r="Q10" i="7" s="1"/>
  <c r="M10" i="7"/>
  <c r="K10" i="7"/>
  <c r="H10" i="7"/>
  <c r="I10" i="7" s="1"/>
  <c r="C10" i="7"/>
  <c r="B10" i="7" s="1"/>
  <c r="P9" i="7"/>
  <c r="Q9" i="7" s="1"/>
  <c r="M9" i="7"/>
  <c r="K9" i="7"/>
  <c r="H9" i="7"/>
  <c r="I9" i="7" s="1"/>
  <c r="C9" i="7"/>
  <c r="B9" i="7"/>
  <c r="P8" i="7"/>
  <c r="Q8" i="7" s="1"/>
  <c r="M8" i="7"/>
  <c r="K8" i="7"/>
  <c r="H8" i="7"/>
  <c r="I8" i="7" s="1"/>
  <c r="C8" i="7"/>
  <c r="B8" i="7" s="1"/>
  <c r="P7" i="7"/>
  <c r="Q7" i="7" s="1"/>
  <c r="M7" i="7"/>
  <c r="K7" i="7"/>
  <c r="H7" i="7"/>
  <c r="I7" i="7" s="1"/>
  <c r="C7" i="7"/>
  <c r="B7" i="7" s="1"/>
  <c r="Q6" i="7"/>
  <c r="N6" i="7"/>
  <c r="O6" i="7" s="1"/>
  <c r="M6" i="7"/>
  <c r="K6" i="7"/>
  <c r="I6" i="7"/>
  <c r="C6" i="7"/>
  <c r="B6" i="7"/>
  <c r="P5" i="7"/>
  <c r="Q5" i="7" s="1"/>
  <c r="M5" i="7"/>
  <c r="K5" i="7"/>
  <c r="H5" i="7"/>
  <c r="I5" i="7" s="1"/>
  <c r="C5" i="7"/>
  <c r="B5" i="7"/>
  <c r="P4" i="7"/>
  <c r="Q4" i="7" s="1"/>
  <c r="N4" i="7"/>
  <c r="O4" i="7" s="1"/>
  <c r="M4" i="7"/>
  <c r="K4" i="7"/>
  <c r="H4" i="7"/>
  <c r="I4" i="7" s="1"/>
  <c r="C4" i="7"/>
  <c r="B4" i="7"/>
  <c r="Q3" i="7"/>
  <c r="N3" i="7"/>
  <c r="O3" i="7" s="1"/>
  <c r="M3" i="7"/>
  <c r="K3" i="7"/>
  <c r="I3" i="7"/>
  <c r="C3" i="7"/>
  <c r="B3" i="7"/>
  <c r="P2" i="7"/>
  <c r="Q2" i="7" s="1"/>
  <c r="M2" i="7"/>
  <c r="K2" i="7"/>
  <c r="H2" i="7"/>
  <c r="I2" i="7" s="1"/>
  <c r="C2" i="7"/>
  <c r="B2" i="7" s="1"/>
  <c r="B29" i="8"/>
  <c r="B30" i="8"/>
  <c r="N31" i="7" l="1"/>
  <c r="O31" i="7" s="1"/>
  <c r="N24" i="7"/>
  <c r="O24" i="7" s="1"/>
  <c r="N32" i="7"/>
  <c r="O32" i="7" s="1"/>
  <c r="N2" i="7"/>
  <c r="O2" i="7" s="1"/>
  <c r="N8" i="7"/>
  <c r="O8" i="7" s="1"/>
  <c r="N9" i="7"/>
  <c r="O9" i="7" s="1"/>
  <c r="N14" i="7"/>
  <c r="O14" i="7" s="1"/>
  <c r="N20" i="7"/>
  <c r="O20" i="7" s="1"/>
  <c r="N30" i="7"/>
  <c r="O30" i="7" s="1"/>
  <c r="N5" i="7"/>
  <c r="O5" i="7" s="1"/>
  <c r="N10" i="7"/>
  <c r="O10" i="7" s="1"/>
  <c r="N28" i="7"/>
  <c r="O28" i="7" s="1"/>
  <c r="Q29" i="7"/>
  <c r="N26" i="7"/>
  <c r="O26" i="7" s="1"/>
  <c r="N7" i="7"/>
  <c r="O7" i="7" s="1"/>
  <c r="N17" i="7"/>
  <c r="O17" i="7" s="1"/>
  <c r="Q21" i="7"/>
  <c r="N11" i="7"/>
  <c r="O11" i="7" s="1"/>
  <c r="N19" i="7"/>
  <c r="O19" i="7" s="1"/>
  <c r="N27" i="7"/>
  <c r="O27" i="7" s="1"/>
  <c r="Q13" i="7"/>
  <c r="D26" i="1"/>
  <c r="E26" i="1"/>
  <c r="D25" i="1"/>
  <c r="D53" i="1"/>
  <c r="C53" i="1" s="1"/>
  <c r="D57" i="1"/>
  <c r="E57" i="1"/>
  <c r="D31" i="1"/>
  <c r="E31" i="1"/>
  <c r="D58" i="1"/>
  <c r="E58" i="1"/>
  <c r="D56" i="1"/>
  <c r="E56" i="1"/>
  <c r="D46" i="1"/>
  <c r="E46" i="1"/>
  <c r="D29" i="1"/>
  <c r="E29" i="1"/>
  <c r="D22" i="1"/>
  <c r="E22" i="1"/>
  <c r="D33" i="1"/>
  <c r="E33" i="1"/>
  <c r="D55" i="1"/>
  <c r="E55" i="1"/>
  <c r="D16" i="1"/>
  <c r="E16" i="1"/>
  <c r="D17" i="1"/>
  <c r="E17" i="1"/>
  <c r="D24" i="1"/>
  <c r="E24" i="1"/>
  <c r="R5" i="4"/>
  <c r="E2" i="4" s="1"/>
  <c r="J3" i="4"/>
  <c r="J2" i="4"/>
  <c r="D39" i="1"/>
  <c r="E39" i="1"/>
  <c r="D54" i="1"/>
  <c r="E54" i="1"/>
  <c r="D52" i="1"/>
  <c r="E52" i="1"/>
  <c r="D51" i="1"/>
  <c r="E51" i="1"/>
  <c r="D50" i="1"/>
  <c r="E50" i="1"/>
  <c r="D49" i="1"/>
  <c r="E49" i="1"/>
  <c r="D48" i="1"/>
  <c r="E48" i="1"/>
  <c r="D47" i="1"/>
  <c r="E47" i="1"/>
  <c r="D13" i="1"/>
  <c r="E13" i="1"/>
  <c r="D12" i="1"/>
  <c r="E12" i="1"/>
  <c r="D20" i="1"/>
  <c r="E20" i="1"/>
  <c r="E14" i="1"/>
  <c r="D14" i="1"/>
  <c r="E3" i="1"/>
  <c r="D3" i="1"/>
  <c r="E2" i="1"/>
  <c r="D2" i="1"/>
  <c r="D45" i="1"/>
  <c r="E45" i="1"/>
  <c r="E44" i="1"/>
  <c r="D44" i="1"/>
  <c r="D43" i="1"/>
  <c r="E43" i="1"/>
  <c r="D42" i="1"/>
  <c r="E42" i="1"/>
  <c r="D37" i="1"/>
  <c r="E37" i="1"/>
  <c r="D38" i="1"/>
  <c r="E38" i="1"/>
  <c r="D40" i="1"/>
  <c r="E40" i="1"/>
  <c r="D41" i="1"/>
  <c r="E41" i="1"/>
  <c r="D36" i="1"/>
  <c r="E36" i="1"/>
  <c r="E35" i="1"/>
  <c r="D35" i="1"/>
  <c r="D34" i="1"/>
  <c r="E34" i="1"/>
  <c r="E32" i="1"/>
  <c r="D32" i="1"/>
  <c r="D30" i="1"/>
  <c r="E30" i="1"/>
  <c r="E28" i="1"/>
  <c r="D28" i="1"/>
  <c r="E27" i="1"/>
  <c r="D27" i="1"/>
  <c r="E25" i="1"/>
  <c r="E23" i="1"/>
  <c r="D23" i="1"/>
  <c r="D21" i="1"/>
  <c r="E21" i="1"/>
  <c r="D19" i="1"/>
  <c r="E19" i="1"/>
  <c r="E18" i="1"/>
  <c r="D18" i="1"/>
  <c r="E15" i="1"/>
  <c r="D15" i="1"/>
  <c r="E11" i="1"/>
  <c r="D11" i="1"/>
  <c r="E10" i="1"/>
  <c r="D10" i="1"/>
  <c r="E9" i="1"/>
  <c r="D9" i="1"/>
  <c r="E8" i="1"/>
  <c r="D8" i="1"/>
  <c r="E7" i="1"/>
  <c r="D7" i="1"/>
  <c r="E6" i="1"/>
  <c r="D6" i="1"/>
  <c r="D5" i="1"/>
  <c r="D4" i="1"/>
  <c r="E5" i="1"/>
  <c r="E4" i="1"/>
  <c r="O8" i="1"/>
  <c r="O7" i="1"/>
  <c r="O9" i="1" s="1"/>
  <c r="H2" i="4" l="1"/>
  <c r="F2" i="4"/>
  <c r="G2" i="4" s="1"/>
  <c r="I2" i="4" s="1"/>
  <c r="E3" i="4"/>
  <c r="K2" i="4" l="1"/>
  <c r="D2" i="4"/>
  <c r="L2" i="4" s="1"/>
  <c r="H3" i="4"/>
  <c r="F3" i="4"/>
  <c r="G3" i="4" s="1"/>
  <c r="I3" i="4" s="1"/>
  <c r="K3" i="4" l="1"/>
  <c r="D3" i="4"/>
  <c r="L3" i="4" s="1"/>
</calcChain>
</file>

<file path=xl/sharedStrings.xml><?xml version="1.0" encoding="utf-8"?>
<sst xmlns="http://schemas.openxmlformats.org/spreadsheetml/2006/main" count="231" uniqueCount="139">
  <si>
    <t>Date</t>
  </si>
  <si>
    <t>Organization</t>
  </si>
  <si>
    <t>VAT 23%</t>
  </si>
  <si>
    <t>VAT 8%</t>
  </si>
  <si>
    <t>VAT 5%</t>
  </si>
  <si>
    <t>Net Cost</t>
  </si>
  <si>
    <t>Total Expense VAT</t>
  </si>
  <si>
    <t>Gross Cost</t>
  </si>
  <si>
    <t>Biedronka</t>
  </si>
  <si>
    <t>Invoice NO.</t>
  </si>
  <si>
    <t>4850F02785/1225</t>
  </si>
  <si>
    <t>4850F02784/1225</t>
  </si>
  <si>
    <t>4850F02795/1225</t>
  </si>
  <si>
    <t>4850F02794/1225</t>
  </si>
  <si>
    <t>Payment Status</t>
  </si>
  <si>
    <t>Paragon NIP</t>
  </si>
  <si>
    <t>4850F02793/1225</t>
  </si>
  <si>
    <t>Lidl</t>
  </si>
  <si>
    <t>1873/01366/021225/01</t>
  </si>
  <si>
    <t>4850F02783/1225</t>
  </si>
  <si>
    <t>Biggastro</t>
  </si>
  <si>
    <t>F/009335/25</t>
  </si>
  <si>
    <t>4850F02820/1225</t>
  </si>
  <si>
    <t>4850F02846/1225</t>
  </si>
  <si>
    <t>4850F02840/1225</t>
  </si>
  <si>
    <t>Frito Lay</t>
  </si>
  <si>
    <t>Paid</t>
  </si>
  <si>
    <t>Unpaid</t>
  </si>
  <si>
    <t>Total</t>
  </si>
  <si>
    <t>2407F03015/1225</t>
  </si>
  <si>
    <t>4850F02927/1225</t>
  </si>
  <si>
    <t>Carrefour</t>
  </si>
  <si>
    <t>Paragon NIP(105127/0205)</t>
  </si>
  <si>
    <t>2407F03075/1225</t>
  </si>
  <si>
    <t>4850F02954/1225</t>
  </si>
  <si>
    <t>2091/00497/201225/01</t>
  </si>
  <si>
    <t>Paragon NIP(315922/0917)</t>
  </si>
  <si>
    <t>INO RYS</t>
  </si>
  <si>
    <t>2673/2025</t>
  </si>
  <si>
    <t>Firma Wielobranzowa Express</t>
  </si>
  <si>
    <t>FA 1193/12/2025</t>
  </si>
  <si>
    <t>4850F03028/1225</t>
  </si>
  <si>
    <t>2407F03156/1225</t>
  </si>
  <si>
    <t>4850F03013/1225</t>
  </si>
  <si>
    <t>4850F03039/1225</t>
  </si>
  <si>
    <t>1873/01573/271225/01</t>
  </si>
  <si>
    <t>Serba</t>
  </si>
  <si>
    <t>F 02/12/2025</t>
  </si>
  <si>
    <t>F 01/12/2025</t>
  </si>
  <si>
    <t>F 03/12/2025</t>
  </si>
  <si>
    <t>Store Rent</t>
  </si>
  <si>
    <t>N/12A/2025</t>
  </si>
  <si>
    <t>Store Admin</t>
  </si>
  <si>
    <t>N/12B/2025</t>
  </si>
  <si>
    <t>4850F03061/1225</t>
  </si>
  <si>
    <t>5061F01863/1225</t>
  </si>
  <si>
    <t>Action</t>
  </si>
  <si>
    <t>4850F03088/1225</t>
  </si>
  <si>
    <t>1873/01587/311225/01</t>
  </si>
  <si>
    <t>4850F03090/1225</t>
  </si>
  <si>
    <t>Accountant</t>
  </si>
  <si>
    <t>0019/12/2025</t>
  </si>
  <si>
    <t>F 06/12/2025</t>
  </si>
  <si>
    <t>Shahi Bazar</t>
  </si>
  <si>
    <t>FV/2025/12/334</t>
  </si>
  <si>
    <t>Employee name</t>
  </si>
  <si>
    <t>ZUS Empolyer</t>
  </si>
  <si>
    <t>Pension</t>
  </si>
  <si>
    <t>Disability</t>
  </si>
  <si>
    <t>Sickness</t>
  </si>
  <si>
    <t>Zus Rates</t>
  </si>
  <si>
    <t>PIT</t>
  </si>
  <si>
    <t>Tax Base</t>
  </si>
  <si>
    <t>Tax Allowance</t>
  </si>
  <si>
    <t>Standard Cost of Earning Income</t>
  </si>
  <si>
    <t>PIT rate</t>
  </si>
  <si>
    <t>NFZ Rate</t>
  </si>
  <si>
    <t>ZUS Employee</t>
  </si>
  <si>
    <t>Total Zus</t>
  </si>
  <si>
    <t>Segments ZUS</t>
  </si>
  <si>
    <t>Total Expense Per Employee</t>
  </si>
  <si>
    <t>Gross Salary</t>
  </si>
  <si>
    <t>Net Salary</t>
  </si>
  <si>
    <t>Fortum</t>
  </si>
  <si>
    <t>Oriental Expres</t>
  </si>
  <si>
    <t>VAT-7 (Previous month)</t>
  </si>
  <si>
    <t>4850F02991/1225</t>
  </si>
  <si>
    <t>Pyshne</t>
  </si>
  <si>
    <t>Glovo</t>
  </si>
  <si>
    <t>R-2549-10458833-321426091-4395597</t>
  </si>
  <si>
    <t>R-2550-10458833-322359451-4410790</t>
  </si>
  <si>
    <t>R-2552-10458833-324115861-4440047</t>
  </si>
  <si>
    <t>R-2601-10458833-324933791-4454086</t>
  </si>
  <si>
    <t>Moya</t>
  </si>
  <si>
    <t>NFZ Cost</t>
  </si>
  <si>
    <t>Social Contribution</t>
  </si>
  <si>
    <t>PGKIM</t>
  </si>
  <si>
    <t>nr 01440/12/2025/RS</t>
  </si>
  <si>
    <t>AIM SERVICE</t>
  </si>
  <si>
    <t>F 21/12/2025</t>
  </si>
  <si>
    <t>Net Sale</t>
  </si>
  <si>
    <t>Total VAT</t>
  </si>
  <si>
    <t>Gross Sale</t>
  </si>
  <si>
    <t>Dowoz</t>
  </si>
  <si>
    <t>Sales By Cash</t>
  </si>
  <si>
    <t>Sales By Card</t>
  </si>
  <si>
    <t>Dowoz Sales %</t>
  </si>
  <si>
    <t>Pyshne Sales %</t>
  </si>
  <si>
    <t>Glovo Sales %</t>
  </si>
  <si>
    <t>Cash Sales %</t>
  </si>
  <si>
    <t>Card Sales %</t>
  </si>
  <si>
    <t>Employee 1</t>
  </si>
  <si>
    <t>Employee 2</t>
  </si>
  <si>
    <t>Grand Total</t>
  </si>
  <si>
    <t xml:space="preserve"> Total Expense VAT</t>
  </si>
  <si>
    <t>Total Net Cost</t>
  </si>
  <si>
    <t>Employee</t>
  </si>
  <si>
    <t>Average of Glovo Sales %</t>
  </si>
  <si>
    <t>Average of Dowoz Sales %</t>
  </si>
  <si>
    <t>Average of Pyshne Sales %</t>
  </si>
  <si>
    <t>Average of Cash Sales %</t>
  </si>
  <si>
    <t>Average of Card Sales %</t>
  </si>
  <si>
    <t>EBITA</t>
  </si>
  <si>
    <t>VAT To be paid</t>
  </si>
  <si>
    <t xml:space="preserve"> Total Expense Per Employee</t>
  </si>
  <si>
    <t>Total Zus CNTR</t>
  </si>
  <si>
    <t>Net Salary Employee</t>
  </si>
  <si>
    <t>Profit Before TAX</t>
  </si>
  <si>
    <t>CIT</t>
  </si>
  <si>
    <t>Net Profit</t>
  </si>
  <si>
    <t>Sales Report</t>
  </si>
  <si>
    <t>Revenue</t>
  </si>
  <si>
    <t>Total Gross Sale</t>
  </si>
  <si>
    <t xml:space="preserve"> Total VAT</t>
  </si>
  <si>
    <t>Total Dowoz</t>
  </si>
  <si>
    <t>Total Pyshne</t>
  </si>
  <si>
    <t>Total Glovo</t>
  </si>
  <si>
    <t>TotalSales By Cash</t>
  </si>
  <si>
    <t>Total Sales By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</si>
</sst>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PLN]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1" fillId="0" borderId="0" xfId="0" applyFont="1"/>
    <xf numFmtId="165" fontId="3" fillId="0" borderId="0" xfId="0" applyNumberFormat="1" applyFont="1" applyAlignment="1">
      <alignment horizontal="left"/>
    </xf>
    <xf numFmtId="165" fontId="1" fillId="0" borderId="0" xfId="0" applyNumberFormat="1" applyFont="1"/>
    <xf numFmtId="10" fontId="0" fillId="0" borderId="0" xfId="0" applyNumberFormat="1"/>
    <xf numFmtId="9" fontId="0" fillId="0" borderId="0" xfId="0" applyNumberForma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165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/>
    <xf numFmtId="165" fontId="0" fillId="0" borderId="1" xfId="0" applyNumberFormat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0" fillId="0" borderId="1" xfId="0" pivotButton="1" applyBorder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5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PLN]\ #,##0.00"/>
    </dxf>
    <dxf>
      <numFmt numFmtId="165" formatCode="[$PLN]\ #,##0.00"/>
    </dxf>
    <dxf>
      <numFmt numFmtId="165" formatCode="[$PLN]\ #,##0.00"/>
    </dxf>
    <dxf>
      <numFmt numFmtId="165" formatCode="[$PLN]\ #,##0.00"/>
    </dxf>
    <dxf>
      <numFmt numFmtId="164" formatCode="[$-409]d\-mmm\-yy;@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[$PLN]\ #,##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fak Ul Alam Sakib" refreshedDate="46051.669961458334" createdVersion="8" refreshedVersion="8" minRefreshableVersion="3" recordCount="57" xr:uid="{51CE2D78-8823-4292-867A-8F096E5C6252}">
  <cacheSource type="worksheet">
    <worksheetSource ref="A1:K58" sheet="December"/>
  </cacheSource>
  <cacheFields count="13">
    <cacheField name="Date" numFmtId="164">
      <sharedItems containsSemiMixedTypes="0" containsNonDate="0" containsDate="1" containsString="0" minDate="2025-12-01T00:00:00" maxDate="2026-01-06T00:00:00" count="25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1T00:00:00"/>
        <d v="2025-12-12T00:00:00"/>
        <d v="2025-12-13T00:00:00"/>
        <d v="2025-12-14T00:00:00"/>
        <d v="2025-12-15T00:00:00"/>
        <d v="2025-12-18T00:00:00"/>
        <d v="2025-12-20T00:00:00"/>
        <d v="2025-12-21T00:00:00"/>
        <d v="2025-12-22T00:00:00"/>
        <d v="2025-12-23T00:00:00"/>
        <d v="2025-12-27T00:00:00"/>
        <d v="2025-12-28T00:00:00"/>
        <d v="2025-12-29T00:00:00"/>
        <d v="2025-12-30T00:00:00"/>
        <d v="2025-12-31T00:00:00"/>
        <d v="2026-01-05T00:00:00"/>
      </sharedItems>
      <fieldGroup par="12"/>
    </cacheField>
    <cacheField name="Organization" numFmtId="164">
      <sharedItems count="17">
        <s v="Serba"/>
        <s v="Biedronka"/>
        <s v="Lidl"/>
        <s v="Store Rent"/>
        <s v="Store Admin"/>
        <s v="Biggastro"/>
        <s v="Action"/>
        <s v="Pyshne"/>
        <s v="Frito Lay"/>
        <s v="Carrefour"/>
        <s v="Glovo"/>
        <s v="INO RYS"/>
        <s v="Shahi Bazar"/>
        <s v="Firma Wielobranzowa Express"/>
        <s v="PGKIM"/>
        <s v="Accountant"/>
        <s v="Moya"/>
      </sharedItems>
    </cacheField>
    <cacheField name="Net Cost" numFmtId="165">
      <sharedItems containsSemiMixedTypes="0" containsString="0" containsNumber="1" minValue="13.03" maxValue="6120.81"/>
    </cacheField>
    <cacheField name="VAT 23%" numFmtId="165">
      <sharedItems containsString="0" containsBlank="1" containsNumber="1" minValue="0" maxValue="339.48"/>
    </cacheField>
    <cacheField name="VAT 8%" numFmtId="165">
      <sharedItems containsString="0" containsBlank="1" containsNumber="1" minValue="0.41" maxValue="46.28"/>
    </cacheField>
    <cacheField name="VAT 5%" numFmtId="165">
      <sharedItems containsString="0" containsBlank="1" containsNumber="1" minValue="0.85" maxValue="262.42"/>
    </cacheField>
    <cacheField name="Total Expense VAT" numFmtId="165">
      <sharedItems containsSemiMixedTypes="0" containsString="0" containsNumber="1" minValue="0" maxValue="376.32000000000005"/>
    </cacheField>
    <cacheField name="Gross Cost" numFmtId="165">
      <sharedItems containsSemiMixedTypes="0" containsString="0" containsNumber="1" minValue="16.03" maxValue="6497.13"/>
    </cacheField>
    <cacheField name="Invoice NO." numFmtId="0">
      <sharedItems containsMixedTypes="1" containsNumber="1" containsInteger="1" minValue="543920791" maxValue="23010000202806"/>
    </cacheField>
    <cacheField name="Payment Status" numFmtId="0">
      <sharedItems count="1">
        <b v="1"/>
      </sharedItems>
    </cacheField>
    <cacheField name="Months (Date)" numFmtId="0" databaseField="0">
      <fieldGroup base="0">
        <rangePr groupBy="months" startDate="2025-12-01T00:00:00" endDate="2026-01-06T00:00:00"/>
        <groupItems count="14">
          <s v="&lt;12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6/2026"/>
        </groupItems>
      </fieldGroup>
    </cacheField>
    <cacheField name="Quarters (Date)" numFmtId="0" databaseField="0">
      <fieldGroup base="0">
        <rangePr groupBy="quarters" startDate="2025-12-01T00:00:00" endDate="2026-01-06T00:00:00"/>
        <groupItems count="6">
          <s v="&lt;12/1/2025"/>
          <s v="Qtr1"/>
          <s v="Qtr2"/>
          <s v="Qtr3"/>
          <s v="Qtr4"/>
          <s v="&gt;1/6/2026"/>
        </groupItems>
      </fieldGroup>
    </cacheField>
    <cacheField name="Years (Date)" numFmtId="0" databaseField="0">
      <fieldGroup base="0">
        <rangePr groupBy="years" startDate="2025-12-01T00:00:00" endDate="2026-01-06T00:00:00"/>
        <groupItems count="4">
          <s v="&lt;12/1/2025"/>
          <s v="2025"/>
          <s v="2026"/>
          <s v="&gt;1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fak Ul Alam Sakib" refreshedDate="46051.676338657409" createdVersion="8" refreshedVersion="8" minRefreshableVersion="3" recordCount="31" xr:uid="{47C7D424-5F31-4CEF-BE4E-7AA71F2AFB5F}">
  <cacheSource type="worksheet">
    <worksheetSource ref="A1:Q32" sheet="Sales"/>
  </cacheSource>
  <cacheFields count="17">
    <cacheField name="Date" numFmtId="164">
      <sharedItems containsSemiMixedTypes="0" containsNonDate="0" containsDate="1" containsString="0" minDate="2025-12-01T00:00:00" maxDate="2026-01-01T00:00:00" count="31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Net Sale" numFmtId="165">
      <sharedItems containsSemiMixedTypes="0" containsString="0" containsNumber="1" minValue="919.35" maxValue="4376.3500000000004"/>
    </cacheField>
    <cacheField name="VAT 23%" numFmtId="165">
      <sharedItems containsSemiMixedTypes="0" containsString="0" containsNumber="1" minValue="17.02" maxValue="135.76"/>
    </cacheField>
    <cacheField name="VAT 8%" numFmtId="165">
      <sharedItems containsSemiMixedTypes="0" containsString="0" containsNumber="1" minValue="67.63" maxValue="302.89"/>
    </cacheField>
    <cacheField name="VAT 5%" numFmtId="165">
      <sharedItems containsNonDate="0" containsString="0" containsBlank="1"/>
    </cacheField>
    <cacheField name="Total VAT" numFmtId="165">
      <sharedItems containsSemiMixedTypes="0" containsString="0" containsNumber="1" minValue="84.649999999999991" maxValue="438.65"/>
    </cacheField>
    <cacheField name="Gross Sale" numFmtId="165">
      <sharedItems containsSemiMixedTypes="0" containsString="0" containsNumber="1" containsInteger="1" minValue="1004" maxValue="4815"/>
    </cacheField>
    <cacheField name="Dowoz" numFmtId="165">
      <sharedItems containsSemiMixedTypes="0" containsString="0" containsNumber="1" containsInteger="1" minValue="35" maxValue="910"/>
    </cacheField>
    <cacheField name="Dowoz Sales %" numFmtId="10">
      <sharedItems containsSemiMixedTypes="0" containsString="0" containsNumber="1" minValue="2.8618152085036791E-2" maxValue="0.49402390438247018"/>
    </cacheField>
    <cacheField name="Pyshne" numFmtId="165">
      <sharedItems containsSemiMixedTypes="0" containsString="0" containsNumber="1" containsInteger="1" minValue="45" maxValue="1940"/>
    </cacheField>
    <cacheField name="Pyshne Sales %" numFmtId="10">
      <sharedItems containsSemiMixedTypes="0" containsString="0" containsNumber="1" minValue="2.0585544373284539E-2" maxValue="0.402907580477674"/>
    </cacheField>
    <cacheField name="Glovo" numFmtId="165">
      <sharedItems containsSemiMixedTypes="0" containsString="0" containsNumber="1" minValue="0" maxValue="306"/>
    </cacheField>
    <cacheField name="Glovo Sales %" numFmtId="10">
      <sharedItems containsSemiMixedTypes="0" containsString="0" containsNumber="1" minValue="0" maxValue="0.11422172452407615"/>
    </cacheField>
    <cacheField name="Sales By Cash" numFmtId="165">
      <sharedItems containsSemiMixedTypes="0" containsString="0" containsNumber="1" containsInteger="1" minValue="-186" maxValue="2273"/>
    </cacheField>
    <cacheField name="Cash Sales %" numFmtId="10">
      <sharedItems containsSemiMixedTypes="0" containsString="0" containsNumber="1" minValue="-0.18525896414342632" maxValue="0.7203204661325564"/>
    </cacheField>
    <cacheField name="Sales By Card" numFmtId="165">
      <sharedItems containsSemiMixedTypes="0" containsString="0" containsNumber="1" containsInteger="1" minValue="384" maxValue="2542"/>
    </cacheField>
    <cacheField name="Card Sales %" numFmtId="10">
      <sharedItems containsSemiMixedTypes="0" containsString="0" containsNumber="1" minValue="0.27967953386744354" maxValue="1.1852589641434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fak Ul Alam Sakib" refreshedDate="46051.701049421295" createdVersion="8" refreshedVersion="8" minRefreshableVersion="3" recordCount="2" xr:uid="{1BB5E468-052C-41E1-B33B-323A8B880FEF}">
  <cacheSource type="worksheet">
    <worksheetSource ref="B1:L3" sheet="Empolyee"/>
  </cacheSource>
  <cacheFields count="11">
    <cacheField name="Employee name" numFmtId="0">
      <sharedItems count="2">
        <s v="Employee 1"/>
        <s v="Employee 2"/>
      </sharedItems>
    </cacheField>
    <cacheField name="Gross Salary" numFmtId="165">
      <sharedItems containsSemiMixedTypes="0" containsString="0" containsNumber="1" containsInteger="1" minValue="4666" maxValue="7000"/>
    </cacheField>
    <cacheField name="Net Salary" numFmtId="165">
      <sharedItems containsSemiMixedTypes="0" containsString="0" containsNumber="1" minValue="3510.7702060000001" maxValue="5101.8369999999995"/>
    </cacheField>
    <cacheField name="Social Contribution" numFmtId="165">
      <sharedItems containsSemiMixedTypes="0" containsString="0" containsNumber="1" minValue="639.70860000000005" maxValue="959.7"/>
    </cacheField>
    <cacheField name="Tax Base" numFmtId="165">
      <sharedItems containsSemiMixedTypes="0" containsString="0" containsNumber="1" minValue="3776.2914000000001" maxValue="5790.3"/>
    </cacheField>
    <cacheField name="PIT" numFmtId="165">
      <sharedItems containsSemiMixedTypes="0" containsString="0" containsNumber="1" minValue="153.154968" maxValue="394.83600000000001"/>
    </cacheField>
    <cacheField name="NFZ Cost" numFmtId="165">
      <sharedItems containsSemiMixedTypes="0" containsString="0" containsNumber="1" minValue="362.36622599999998" maxValue="543.62699999999995"/>
    </cacheField>
    <cacheField name="ZUS Employee" numFmtId="165">
      <sharedItems containsSemiMixedTypes="0" containsString="0" containsNumber="1" minValue="1155.2297939999999" maxValue="1898.163"/>
    </cacheField>
    <cacheField name="ZUS Empolyer" numFmtId="165">
      <sharedItems containsSemiMixedTypes="0" containsString="0" containsNumber="1" minValue="955.59680000000003" maxValue="1433.6000000000001"/>
    </cacheField>
    <cacheField name="Total Zus" numFmtId="165">
      <sharedItems containsSemiMixedTypes="0" containsString="0" containsNumber="1" minValue="2110.8265940000001" maxValue="3331.7629999999999"/>
    </cacheField>
    <cacheField name="Total Expense Per Employee" numFmtId="165">
      <sharedItems containsSemiMixedTypes="0" containsString="0" containsNumber="1" minValue="5621.5968000000003" maxValue="8433.5999999999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n v="6120.81"/>
    <n v="67.62"/>
    <n v="46.28"/>
    <n v="262.42"/>
    <n v="376.32000000000005"/>
    <n v="6497.13"/>
    <s v="F 02/12/2025"/>
    <x v="0"/>
  </r>
  <r>
    <x v="0"/>
    <x v="0"/>
    <n v="4626.92"/>
    <n v="32.43"/>
    <n v="45.84"/>
    <n v="195.65"/>
    <n v="273.92"/>
    <n v="4900.84"/>
    <s v="F 01/12/2025"/>
    <x v="0"/>
  </r>
  <r>
    <x v="0"/>
    <x v="1"/>
    <n v="17.03"/>
    <m/>
    <m/>
    <n v="0.85"/>
    <n v="0.85"/>
    <n v="17.880000000000003"/>
    <s v="4850F02785/1225"/>
    <x v="0"/>
  </r>
  <r>
    <x v="0"/>
    <x v="1"/>
    <n v="17.03"/>
    <m/>
    <m/>
    <n v="0.85"/>
    <n v="0.85"/>
    <n v="17.880000000000003"/>
    <s v="4850F02784/1225"/>
    <x v="0"/>
  </r>
  <r>
    <x v="0"/>
    <x v="1"/>
    <n v="101.15"/>
    <n v="9.98"/>
    <m/>
    <n v="2.89"/>
    <n v="12.870000000000001"/>
    <n v="114.02000000000001"/>
    <s v="4850F02783/1225"/>
    <x v="0"/>
  </r>
  <r>
    <x v="1"/>
    <x v="2"/>
    <n v="44.28"/>
    <m/>
    <m/>
    <n v="2.21"/>
    <n v="2.21"/>
    <n v="46.49"/>
    <s v="1873/01366/021225/01"/>
    <x v="0"/>
  </r>
  <r>
    <x v="1"/>
    <x v="1"/>
    <n v="17.03"/>
    <m/>
    <m/>
    <n v="0.85"/>
    <n v="0.85"/>
    <n v="17.880000000000003"/>
    <s v="4850F02794/1225"/>
    <x v="0"/>
  </r>
  <r>
    <x v="1"/>
    <x v="1"/>
    <n v="143.58000000000001"/>
    <m/>
    <n v="0.41"/>
    <n v="6.92"/>
    <n v="7.33"/>
    <n v="150.91"/>
    <s v="4850F02793/1225"/>
    <x v="0"/>
  </r>
  <r>
    <x v="1"/>
    <x v="1"/>
    <n v="17.03"/>
    <m/>
    <m/>
    <n v="0.85"/>
    <n v="0.85"/>
    <n v="17.880000000000003"/>
    <s v="4850F02795/1225"/>
    <x v="0"/>
  </r>
  <r>
    <x v="1"/>
    <x v="1"/>
    <n v="137.79"/>
    <m/>
    <m/>
    <n v="6.89"/>
    <n v="6.89"/>
    <n v="144.67999999999998"/>
    <s v="Paragon NIP"/>
    <x v="0"/>
  </r>
  <r>
    <x v="2"/>
    <x v="3"/>
    <n v="1476"/>
    <n v="339.48"/>
    <m/>
    <m/>
    <n v="339.48"/>
    <n v="1815.48"/>
    <s v="N/12A/2025"/>
    <x v="0"/>
  </r>
  <r>
    <x v="2"/>
    <x v="4"/>
    <n v="703.8"/>
    <n v="136.11000000000001"/>
    <n v="8.9600000000000009"/>
    <m/>
    <n v="145.07000000000002"/>
    <n v="848.87"/>
    <s v="N/12B/2025"/>
    <x v="0"/>
  </r>
  <r>
    <x v="2"/>
    <x v="0"/>
    <n v="4926.74"/>
    <n v="63.8"/>
    <n v="29.48"/>
    <n v="214.04"/>
    <n v="307.32"/>
    <n v="5234.0599999999995"/>
    <s v="F 03/12/2025"/>
    <x v="0"/>
  </r>
  <r>
    <x v="2"/>
    <x v="5"/>
    <n v="4270.66"/>
    <n v="54.74"/>
    <n v="28.28"/>
    <n v="183.96"/>
    <n v="266.98"/>
    <n v="4537.6399999999994"/>
    <s v="F/009335/25"/>
    <x v="0"/>
  </r>
  <r>
    <x v="3"/>
    <x v="6"/>
    <n v="62.54"/>
    <n v="14.39"/>
    <m/>
    <m/>
    <n v="14.39"/>
    <n v="76.930000000000007"/>
    <s v="Paragon NIP"/>
    <x v="0"/>
  </r>
  <r>
    <x v="3"/>
    <x v="6"/>
    <n v="114.34"/>
    <n v="26.3"/>
    <m/>
    <m/>
    <n v="26.3"/>
    <n v="140.64000000000001"/>
    <s v="Paragon NIP"/>
    <x v="0"/>
  </r>
  <r>
    <x v="3"/>
    <x v="1"/>
    <n v="339.74"/>
    <n v="38.909999999999997"/>
    <n v="8.5299999999999994"/>
    <m/>
    <n v="47.44"/>
    <n v="387.17999999999995"/>
    <s v="4850F02820/1225"/>
    <x v="0"/>
  </r>
  <r>
    <x v="4"/>
    <x v="1"/>
    <n v="64.28"/>
    <n v="3.15"/>
    <n v="1.48"/>
    <n v="1.6"/>
    <n v="6.23"/>
    <n v="70.510000000000005"/>
    <s v="4850F02840/1225"/>
    <x v="0"/>
  </r>
  <r>
    <x v="4"/>
    <x v="0"/>
    <n v="3512.14"/>
    <n v="18.86"/>
    <n v="16.8"/>
    <n v="161.01"/>
    <n v="196.67"/>
    <n v="3708.8100000000004"/>
    <s v="F 06/12/2025"/>
    <x v="0"/>
  </r>
  <r>
    <x v="5"/>
    <x v="1"/>
    <n v="119.72"/>
    <n v="14.85"/>
    <n v="1.03"/>
    <n v="2.11"/>
    <n v="17.989999999999998"/>
    <n v="137.71"/>
    <s v="4850F02846/1225"/>
    <x v="0"/>
  </r>
  <r>
    <x v="6"/>
    <x v="7"/>
    <n v="337.65"/>
    <n v="77.66"/>
    <m/>
    <m/>
    <n v="77.66"/>
    <n v="415.30999999999995"/>
    <s v="R-2549-10458833-321426091-4395597"/>
    <x v="0"/>
  </r>
  <r>
    <x v="7"/>
    <x v="8"/>
    <n v="1032.72"/>
    <n v="214.73"/>
    <m/>
    <n v="4.96"/>
    <n v="219.69"/>
    <n v="1252.4100000000001"/>
    <n v="543920791"/>
    <x v="0"/>
  </r>
  <r>
    <x v="7"/>
    <x v="8"/>
    <n v="108"/>
    <n v="0"/>
    <m/>
    <m/>
    <n v="0"/>
    <n v="108"/>
    <n v="543920791"/>
    <x v="0"/>
  </r>
  <r>
    <x v="8"/>
    <x v="1"/>
    <n v="104.59"/>
    <n v="2.82"/>
    <n v="0.65"/>
    <n v="4.21"/>
    <n v="7.68"/>
    <n v="112.27"/>
    <s v="2407F03015/1225"/>
    <x v="0"/>
  </r>
  <r>
    <x v="9"/>
    <x v="0"/>
    <n v="3938"/>
    <m/>
    <m/>
    <n v="196.9"/>
    <n v="196.9"/>
    <n v="4134.8999999999996"/>
    <s v="F 21/12/2025"/>
    <x v="0"/>
  </r>
  <r>
    <x v="10"/>
    <x v="1"/>
    <n v="155.08000000000001"/>
    <n v="5.53"/>
    <m/>
    <n v="6.55"/>
    <n v="12.08"/>
    <n v="167.16000000000003"/>
    <s v="4850F02927/1225"/>
    <x v="0"/>
  </r>
  <r>
    <x v="11"/>
    <x v="9"/>
    <n v="97.81"/>
    <m/>
    <m/>
    <n v="4.8899999999999997"/>
    <n v="4.8899999999999997"/>
    <n v="102.7"/>
    <s v="Paragon NIP(105127/0205)"/>
    <x v="0"/>
  </r>
  <r>
    <x v="12"/>
    <x v="7"/>
    <n v="208.39"/>
    <n v="47.94"/>
    <m/>
    <m/>
    <n v="47.94"/>
    <n v="256.33"/>
    <s v="R-2550-10458833-322359451-4410790"/>
    <x v="0"/>
  </r>
  <r>
    <x v="12"/>
    <x v="1"/>
    <n v="41.18"/>
    <m/>
    <m/>
    <n v="2.06"/>
    <n v="2.06"/>
    <n v="43.24"/>
    <s v="2407F03075/1225"/>
    <x v="0"/>
  </r>
  <r>
    <x v="13"/>
    <x v="10"/>
    <n v="59.3"/>
    <n v="13.64"/>
    <m/>
    <m/>
    <n v="13.64"/>
    <n v="72.94"/>
    <n v="23010000191781"/>
    <x v="0"/>
  </r>
  <r>
    <x v="13"/>
    <x v="1"/>
    <n v="120.98"/>
    <n v="2.2599999999999998"/>
    <m/>
    <n v="5.56"/>
    <n v="7.8199999999999994"/>
    <n v="128.80000000000001"/>
    <s v="4850F02954/1225"/>
    <x v="0"/>
  </r>
  <r>
    <x v="14"/>
    <x v="1"/>
    <n v="81.290000000000006"/>
    <n v="8.61"/>
    <m/>
    <n v="2.19"/>
    <n v="10.799999999999999"/>
    <n v="92.09"/>
    <s v="4850F02991/1225"/>
    <x v="0"/>
  </r>
  <r>
    <x v="15"/>
    <x v="2"/>
    <n v="96.94"/>
    <m/>
    <m/>
    <n v="4.8499999999999996"/>
    <n v="4.8499999999999996"/>
    <n v="101.78999999999999"/>
    <s v="2091/00497/201225/01"/>
    <x v="0"/>
  </r>
  <r>
    <x v="15"/>
    <x v="9"/>
    <n v="95.48"/>
    <n v="14.96"/>
    <m/>
    <n v="1.52"/>
    <n v="16.48"/>
    <n v="111.96"/>
    <s v="Paragon NIP(315922/0917)"/>
    <x v="0"/>
  </r>
  <r>
    <x v="15"/>
    <x v="11"/>
    <n v="92.18"/>
    <m/>
    <m/>
    <n v="4.6100000000000003"/>
    <n v="4.6100000000000003"/>
    <n v="96.79"/>
    <s v="2673/2025"/>
    <x v="0"/>
  </r>
  <r>
    <x v="16"/>
    <x v="1"/>
    <n v="13.03"/>
    <n v="3"/>
    <m/>
    <m/>
    <n v="3"/>
    <n v="16.03"/>
    <s v="2407F03156/1225"/>
    <x v="0"/>
  </r>
  <r>
    <x v="16"/>
    <x v="1"/>
    <n v="125.91"/>
    <n v="12.06"/>
    <m/>
    <n v="3.67"/>
    <n v="15.73"/>
    <n v="141.63999999999999"/>
    <s v="4850F03013/1225"/>
    <x v="0"/>
  </r>
  <r>
    <x v="17"/>
    <x v="12"/>
    <n v="445.76"/>
    <n v="3.74"/>
    <n v="8"/>
    <n v="16.47"/>
    <n v="28.21"/>
    <n v="473.97"/>
    <s v="FV/2025/12/334"/>
    <x v="0"/>
  </r>
  <r>
    <x v="17"/>
    <x v="1"/>
    <n v="273.95"/>
    <n v="12.74"/>
    <m/>
    <n v="10.93"/>
    <n v="23.67"/>
    <n v="297.62"/>
    <s v="4850F03028/1225"/>
    <x v="0"/>
  </r>
  <r>
    <x v="18"/>
    <x v="13"/>
    <n v="285.14"/>
    <n v="65.58"/>
    <m/>
    <m/>
    <n v="65.58"/>
    <n v="350.71999999999997"/>
    <s v="FA 1193/12/2025"/>
    <x v="0"/>
  </r>
  <r>
    <x v="18"/>
    <x v="1"/>
    <n v="28.99"/>
    <m/>
    <m/>
    <n v="1.45"/>
    <n v="1.45"/>
    <n v="30.439999999999998"/>
    <s v="4850F03039/1225"/>
    <x v="0"/>
  </r>
  <r>
    <x v="18"/>
    <x v="2"/>
    <n v="40.18"/>
    <m/>
    <m/>
    <n v="2.0099999999999998"/>
    <n v="2.0099999999999998"/>
    <n v="42.19"/>
    <n v="5562806596"/>
    <x v="0"/>
  </r>
  <r>
    <x v="19"/>
    <x v="1"/>
    <n v="36.299999999999997"/>
    <m/>
    <m/>
    <n v="1.81"/>
    <n v="1.81"/>
    <n v="38.11"/>
    <s v="Paragon NIP"/>
    <x v="0"/>
  </r>
  <r>
    <x v="19"/>
    <x v="2"/>
    <n v="28.51"/>
    <m/>
    <m/>
    <n v="1.43"/>
    <n v="1.43"/>
    <n v="29.94"/>
    <s v="1873/01573/271225/01"/>
    <x v="0"/>
  </r>
  <r>
    <x v="20"/>
    <x v="7"/>
    <n v="573.73"/>
    <n v="131.96"/>
    <m/>
    <m/>
    <n v="131.96"/>
    <n v="705.69"/>
    <s v="R-2552-10458833-324115861-4440047"/>
    <x v="0"/>
  </r>
  <r>
    <x v="21"/>
    <x v="1"/>
    <n v="164.01"/>
    <n v="27.51"/>
    <n v="1.19"/>
    <n v="1.47"/>
    <n v="30.17"/>
    <n v="194.17999999999998"/>
    <s v="4850F03061/1225"/>
    <x v="0"/>
  </r>
  <r>
    <x v="22"/>
    <x v="1"/>
    <n v="140.80000000000001"/>
    <n v="15.74"/>
    <m/>
    <n v="3.62"/>
    <n v="19.36"/>
    <n v="160.16000000000003"/>
    <s v="5061F01863/1225"/>
    <x v="0"/>
  </r>
  <r>
    <x v="22"/>
    <x v="6"/>
    <n v="22.95"/>
    <n v="5.28"/>
    <m/>
    <m/>
    <n v="5.28"/>
    <n v="28.23"/>
    <s v="Paragon NIP"/>
    <x v="0"/>
  </r>
  <r>
    <x v="23"/>
    <x v="1"/>
    <n v="41.33"/>
    <n v="2.0699999999999998"/>
    <m/>
    <m/>
    <n v="2.0699999999999998"/>
    <n v="43.4"/>
    <s v="4850F03088/1225"/>
    <x v="0"/>
  </r>
  <r>
    <x v="23"/>
    <x v="1"/>
    <n v="122.16"/>
    <n v="4.09"/>
    <m/>
    <n v="5.22"/>
    <n v="9.3099999999999987"/>
    <n v="131.47"/>
    <s v="1873/01587/311225/01"/>
    <x v="0"/>
  </r>
  <r>
    <x v="23"/>
    <x v="1"/>
    <n v="92.5"/>
    <n v="1.77"/>
    <n v="0.48"/>
    <n v="3.94"/>
    <n v="6.1899999999999995"/>
    <n v="98.69"/>
    <s v="4850F03090/1225"/>
    <x v="0"/>
  </r>
  <r>
    <x v="23"/>
    <x v="14"/>
    <n v="112"/>
    <m/>
    <n v="8.9600000000000009"/>
    <m/>
    <n v="8.9600000000000009"/>
    <n v="120.96"/>
    <s v="nr 01440/12/2025/RS"/>
    <x v="0"/>
  </r>
  <r>
    <x v="23"/>
    <x v="15"/>
    <n v="700"/>
    <n v="161"/>
    <m/>
    <m/>
    <n v="161"/>
    <n v="861"/>
    <s v="0019/12/2025"/>
    <x v="0"/>
  </r>
  <r>
    <x v="23"/>
    <x v="2"/>
    <n v="122.16"/>
    <n v="4.09"/>
    <m/>
    <n v="5.22"/>
    <n v="9.3099999999999987"/>
    <n v="131.47"/>
    <s v="1873/01587/311225/01"/>
    <x v="0"/>
  </r>
  <r>
    <x v="23"/>
    <x v="7"/>
    <n v="223.81"/>
    <n v="51.47"/>
    <m/>
    <m/>
    <n v="51.47"/>
    <n v="275.27999999999997"/>
    <s v="R-2601-10458833-324933791-4454086"/>
    <x v="0"/>
  </r>
  <r>
    <x v="23"/>
    <x v="10"/>
    <n v="142.62"/>
    <n v="32.81"/>
    <m/>
    <m/>
    <n v="32.81"/>
    <n v="175.43"/>
    <n v="23010000202806"/>
    <x v="0"/>
  </r>
  <r>
    <x v="24"/>
    <x v="16"/>
    <n v="1068.57"/>
    <n v="245.79"/>
    <m/>
    <m/>
    <n v="245.79"/>
    <n v="1314.36"/>
    <n v="270170333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n v="1253.8"/>
    <n v="28.98"/>
    <n v="90.22"/>
    <m/>
    <n v="119.2"/>
    <n v="1373"/>
    <n v="161"/>
    <n v="0.11726147123088128"/>
    <n v="323"/>
    <n v="0.23525127458120904"/>
    <n v="0"/>
    <n v="0"/>
    <n v="989"/>
    <n v="0.7203204661325564"/>
    <n v="384"/>
    <n v="0.27967953386744354"/>
  </r>
  <r>
    <x v="1"/>
    <n v="1119.31"/>
    <n v="21.69"/>
    <n v="82"/>
    <m/>
    <n v="103.69"/>
    <n v="1223"/>
    <n v="35"/>
    <n v="2.8618152085036791E-2"/>
    <n v="233"/>
    <n v="0.19051512673753065"/>
    <n v="0"/>
    <n v="0"/>
    <n v="157"/>
    <n v="0.12837285363859363"/>
    <n v="1066"/>
    <n v="0.87162714636140637"/>
  </r>
  <r>
    <x v="2"/>
    <n v="1672.38"/>
    <n v="41.14"/>
    <n v="119.48"/>
    <m/>
    <n v="160.62"/>
    <n v="1833"/>
    <n v="271"/>
    <n v="0.14784506273867978"/>
    <n v="396"/>
    <n v="0.21603927986906712"/>
    <n v="0"/>
    <n v="0"/>
    <n v="712"/>
    <n v="0.38843426077468635"/>
    <n v="1121"/>
    <n v="0.61156573922531376"/>
  </r>
  <r>
    <x v="3"/>
    <n v="1493.47"/>
    <n v="35.340000000000003"/>
    <n v="107.19"/>
    <m/>
    <n v="142.53"/>
    <n v="1636"/>
    <n v="328"/>
    <n v="0.20048899755501226"/>
    <n v="130"/>
    <n v="7.9462102689486558E-2"/>
    <n v="0"/>
    <n v="0"/>
    <n v="528"/>
    <n v="0.3227383863080685"/>
    <n v="1108"/>
    <n v="0.6772616136919315"/>
  </r>
  <r>
    <x v="4"/>
    <n v="1560.8"/>
    <n v="32.72"/>
    <n v="113.48"/>
    <m/>
    <n v="146.19999999999999"/>
    <n v="1707"/>
    <n v="151"/>
    <n v="8.8459285295840656E-2"/>
    <n v="449"/>
    <n v="0.26303456356180432"/>
    <n v="0"/>
    <n v="0"/>
    <n v="694"/>
    <n v="0.40656121851200938"/>
    <n v="1013"/>
    <n v="0.59343878148799067"/>
  </r>
  <r>
    <x v="5"/>
    <n v="1676.58"/>
    <n v="35.72"/>
    <n v="121.7"/>
    <m/>
    <n v="157.42000000000002"/>
    <n v="1834"/>
    <n v="549"/>
    <n v="0.29934569247546344"/>
    <n v="308"/>
    <n v="0.16793893129770993"/>
    <n v="56"/>
    <n v="3.053435114503817E-2"/>
    <n v="414"/>
    <n v="0.22573609596510358"/>
    <n v="1420"/>
    <n v="0.77426390403489631"/>
  </r>
  <r>
    <x v="6"/>
    <n v="1794.85"/>
    <n v="49.93"/>
    <n v="126.22"/>
    <m/>
    <n v="176.15"/>
    <n v="1971"/>
    <n v="301"/>
    <n v="0.15271435819381024"/>
    <n v="461"/>
    <n v="0.2338914256722476"/>
    <n v="0"/>
    <n v="0"/>
    <n v="927"/>
    <n v="0.47031963470319632"/>
    <n v="1044"/>
    <n v="0.52968036529680362"/>
  </r>
  <r>
    <x v="7"/>
    <n v="1177.8900000000001"/>
    <n v="30.48"/>
    <n v="83.63"/>
    <m/>
    <n v="114.11"/>
    <n v="1292"/>
    <n v="317"/>
    <n v="0.24535603715170279"/>
    <n v="262"/>
    <n v="0.20278637770897834"/>
    <n v="0"/>
    <n v="0"/>
    <n v="846"/>
    <n v="0.65479876160990713"/>
    <n v="446"/>
    <n v="0.34520123839009287"/>
  </r>
  <r>
    <x v="8"/>
    <n v="1830.51"/>
    <n v="35.340000000000003"/>
    <n v="134.15"/>
    <m/>
    <n v="169.49"/>
    <n v="2000"/>
    <n v="377"/>
    <n v="0.1885"/>
    <n v="119"/>
    <n v="5.9500000000000004E-2"/>
    <n v="39"/>
    <n v="1.95E-2"/>
    <n v="445"/>
    <n v="0.2225"/>
    <n v="1555"/>
    <n v="0.77749999999999997"/>
  </r>
  <r>
    <x v="9"/>
    <n v="1446.82"/>
    <n v="19.07"/>
    <n v="109.11"/>
    <m/>
    <n v="128.18"/>
    <n v="1575"/>
    <n v="218"/>
    <n v="0.13841269841269843"/>
    <n v="162"/>
    <n v="0.10285714285714287"/>
    <n v="0"/>
    <n v="0"/>
    <n v="534"/>
    <n v="0.33904761904761904"/>
    <n v="1041"/>
    <n v="0.66095238095238107"/>
  </r>
  <r>
    <x v="10"/>
    <n v="1544.42"/>
    <n v="29.17"/>
    <n v="113.41"/>
    <m/>
    <n v="142.57999999999998"/>
    <n v="1687"/>
    <n v="462"/>
    <n v="0.2738589211618257"/>
    <n v="122"/>
    <n v="7.2317723770005921E-2"/>
    <n v="0"/>
    <n v="0"/>
    <n v="670"/>
    <n v="0.39715471250740964"/>
    <n v="1017"/>
    <n v="0.60284528749259036"/>
  </r>
  <r>
    <x v="11"/>
    <n v="2311.4299999999998"/>
    <n v="43.94"/>
    <n v="169.63"/>
    <m/>
    <n v="213.57"/>
    <n v="2525"/>
    <n v="362"/>
    <n v="0.14336633663366338"/>
    <n v="375"/>
    <n v="0.14851485148514854"/>
    <n v="22"/>
    <n v="8.7128712871287137E-3"/>
    <n v="495"/>
    <n v="0.19603960396039605"/>
    <n v="2030"/>
    <n v="0.8039603960396039"/>
  </r>
  <r>
    <x v="12"/>
    <n v="2455.94"/>
    <n v="40.76"/>
    <n v="182.3"/>
    <m/>
    <n v="223.06"/>
    <n v="2679"/>
    <n v="594"/>
    <n v="0.22172452407614782"/>
    <n v="140"/>
    <n v="5.2258305337812623E-2"/>
    <n v="306"/>
    <n v="0.11422172452407615"/>
    <n v="452"/>
    <n v="0.1687196715192236"/>
    <n v="2227"/>
    <n v="0.83128032848077638"/>
  </r>
  <r>
    <x v="13"/>
    <n v="1899.05"/>
    <n v="52.17"/>
    <n v="133.78"/>
    <m/>
    <n v="185.95"/>
    <n v="2085"/>
    <n v="547"/>
    <n v="0.2623501199040767"/>
    <n v="523"/>
    <n v="0.25083932853717023"/>
    <n v="123"/>
    <n v="5.8992805755395679E-2"/>
    <n v="892"/>
    <n v="0.4278177458033573"/>
    <n v="1193"/>
    <n v="0.57218225419664259"/>
  </r>
  <r>
    <x v="14"/>
    <n v="1822.18"/>
    <n v="35.340000000000003"/>
    <n v="133.47999999999999"/>
    <m/>
    <n v="168.82"/>
    <n v="1991"/>
    <n v="652"/>
    <n v="0.32747363134103469"/>
    <n v="228"/>
    <n v="0.11451531893520844"/>
    <n v="47"/>
    <n v="2.3606228026117528E-2"/>
    <n v="916"/>
    <n v="0.46007031642390755"/>
    <n v="1075"/>
    <n v="0.53992968357609239"/>
  </r>
  <r>
    <x v="15"/>
    <n v="1864.5"/>
    <n v="40.39"/>
    <n v="135.11000000000001"/>
    <m/>
    <n v="175.5"/>
    <n v="2040"/>
    <n v="734"/>
    <n v="0.3598039215686275"/>
    <n v="134"/>
    <n v="6.5686274509803924E-2"/>
    <n v="0"/>
    <n v="0"/>
    <n v="955"/>
    <n v="0.46813725490196084"/>
    <n v="1085"/>
    <n v="0.53186274509803921"/>
  </r>
  <r>
    <x v="16"/>
    <n v="1147.95"/>
    <n v="17.2"/>
    <n v="85.85"/>
    <m/>
    <n v="103.05"/>
    <n v="1251"/>
    <n v="215"/>
    <n v="0.17186250999200639"/>
    <n v="219"/>
    <n v="0.17505995203836933"/>
    <n v="70"/>
    <n v="5.5955235811350923E-2"/>
    <n v="296"/>
    <n v="0.23661071143085532"/>
    <n v="955"/>
    <n v="0.76338928856914468"/>
  </r>
  <r>
    <x v="17"/>
    <n v="1997.54"/>
    <n v="43.94"/>
    <n v="144.52000000000001"/>
    <m/>
    <n v="188.46"/>
    <n v="2186"/>
    <n v="599"/>
    <n v="0.27401646843549865"/>
    <n v="45"/>
    <n v="2.0585544373284539E-2"/>
    <n v="60"/>
    <n v="2.7447392497712716E-2"/>
    <n v="858"/>
    <n v="0.39249771271729189"/>
    <n v="1328"/>
    <n v="0.60750228728270816"/>
  </r>
  <r>
    <x v="18"/>
    <n v="2685.68"/>
    <n v="40.58"/>
    <n v="200.74"/>
    <m/>
    <n v="241.32"/>
    <n v="2927"/>
    <n v="589"/>
    <n v="0.20122992825418518"/>
    <n v="217"/>
    <n v="7.4137341988384009E-2"/>
    <n v="0"/>
    <n v="0"/>
    <n v="1613"/>
    <n v="0.55107618722241203"/>
    <n v="1314"/>
    <n v="0.44892381277758803"/>
  </r>
  <r>
    <x v="19"/>
    <n v="2556.3200000000002"/>
    <n v="35.53"/>
    <n v="192.15"/>
    <m/>
    <n v="227.68"/>
    <n v="2784"/>
    <n v="227"/>
    <n v="8.1537356321839075E-2"/>
    <n v="307"/>
    <n v="0.11027298850574713"/>
    <n v="145"/>
    <n v="5.2083333333333329E-2"/>
    <n v="550"/>
    <n v="0.19755747126436782"/>
    <n v="2234"/>
    <n v="0.80244252873563215"/>
  </r>
  <r>
    <x v="20"/>
    <n v="1738.68"/>
    <n v="32.54"/>
    <n v="127.78"/>
    <m/>
    <n v="160.32"/>
    <n v="1899"/>
    <n v="465"/>
    <n v="0.24486571879936811"/>
    <n v="114"/>
    <n v="6.0031595576619273E-2"/>
    <n v="61"/>
    <n v="3.2122169562927863E-2"/>
    <n v="560"/>
    <n v="0.29489204844655087"/>
    <n v="1339"/>
    <n v="0.70510795155344919"/>
  </r>
  <r>
    <x v="21"/>
    <n v="2409.35"/>
    <n v="44.32"/>
    <n v="177.33"/>
    <m/>
    <n v="221.65"/>
    <n v="2631"/>
    <n v="767"/>
    <n v="0.29152413530976817"/>
    <n v="457"/>
    <n v="0.17369821360699356"/>
    <n v="107"/>
    <n v="4.0668947168377045E-2"/>
    <n v="1208"/>
    <n v="0.45914101102242499"/>
    <n v="1423"/>
    <n v="0.54085898897757512"/>
  </r>
  <r>
    <x v="22"/>
    <n v="2883.36"/>
    <n v="55.16"/>
    <n v="211.48"/>
    <m/>
    <n v="266.64"/>
    <n v="3150"/>
    <n v="93"/>
    <n v="2.9523809523809525E-2"/>
    <n v="911"/>
    <n v="0.28920634920634919"/>
    <n v="35.700000000000003"/>
    <n v="1.1333333333333336E-2"/>
    <n v="1230"/>
    <n v="0.39047619047619053"/>
    <n v="1920"/>
    <n v="0.60952380952380947"/>
  </r>
  <r>
    <x v="23"/>
    <n v="919.35"/>
    <n v="17.02"/>
    <n v="67.63"/>
    <m/>
    <n v="84.649999999999991"/>
    <n v="1004"/>
    <n v="496"/>
    <n v="0.49402390438247018"/>
    <n v="63"/>
    <n v="6.2749003984063745E-2"/>
    <n v="95"/>
    <n v="9.4621513944223121E-2"/>
    <n v="-186"/>
    <n v="-0.18525896414342632"/>
    <n v="1190"/>
    <n v="1.1852589641434264"/>
  </r>
  <r>
    <x v="24"/>
    <n v="4376.3500000000004"/>
    <n v="135.76"/>
    <n v="302.89"/>
    <m/>
    <n v="438.65"/>
    <n v="4815"/>
    <n v="910"/>
    <n v="0.18899273104880582"/>
    <n v="1940"/>
    <n v="0.402907580477674"/>
    <n v="0"/>
    <n v="0"/>
    <n v="2273"/>
    <n v="0.47206645898234684"/>
    <n v="2542"/>
    <n v="0.52793354101765322"/>
  </r>
  <r>
    <x v="25"/>
    <n v="1985.32"/>
    <n v="47.31"/>
    <n v="142.37"/>
    <m/>
    <n v="189.68"/>
    <n v="2175"/>
    <n v="590"/>
    <n v="0.27126436781609198"/>
    <n v="406"/>
    <n v="0.18666666666666668"/>
    <n v="223"/>
    <n v="0.1025287356321839"/>
    <n v="1102"/>
    <n v="0.5066666666666666"/>
    <n v="1073"/>
    <n v="0.49333333333333335"/>
  </r>
  <r>
    <x v="26"/>
    <n v="1742.25"/>
    <n v="46.56"/>
    <n v="123.19"/>
    <m/>
    <n v="169.75"/>
    <n v="1912"/>
    <n v="642"/>
    <n v="0.33577405857740589"/>
    <n v="189"/>
    <n v="9.884937238493724E-2"/>
    <n v="56.5"/>
    <n v="2.9550209205020921E-2"/>
    <n v="421"/>
    <n v="0.22018828451882844"/>
    <n v="1491"/>
    <n v="0.77981171548117145"/>
  </r>
  <r>
    <x v="27"/>
    <n v="1617.75"/>
    <n v="33.47"/>
    <n v="117.78"/>
    <m/>
    <n v="151.25"/>
    <n v="1769"/>
    <n v="447"/>
    <n v="0.25268513284341432"/>
    <n v="154"/>
    <n v="8.705483323911814E-2"/>
    <n v="66"/>
    <n v="3.7309214245336342E-2"/>
    <n v="491"/>
    <n v="0.27755794234030523"/>
    <n v="1278"/>
    <n v="0.72244205765969471"/>
  </r>
  <r>
    <x v="28"/>
    <n v="1830.1100000000001"/>
    <n v="39.08"/>
    <n v="132.81"/>
    <m/>
    <n v="171.89"/>
    <n v="2002"/>
    <n v="778"/>
    <n v="0.38861138861138861"/>
    <n v="249"/>
    <n v="0.12437562437562438"/>
    <n v="0"/>
    <n v="0"/>
    <n v="525"/>
    <n v="0.26223776223776224"/>
    <n v="1477"/>
    <n v="0.7377622377622377"/>
  </r>
  <r>
    <x v="29"/>
    <n v="2275.81"/>
    <n v="61.52"/>
    <n v="160.66999999999999"/>
    <m/>
    <n v="222.19"/>
    <n v="2498"/>
    <n v="668"/>
    <n v="0.26741393114491596"/>
    <n v="609"/>
    <n v="0.24379503602882305"/>
    <n v="0"/>
    <n v="0"/>
    <n v="877"/>
    <n v="0.35108086469175342"/>
    <n v="1621"/>
    <n v="0.64891913530824652"/>
  </r>
  <r>
    <x v="30"/>
    <n v="1523.85"/>
    <n v="31.04"/>
    <n v="111.11"/>
    <m/>
    <n v="142.15"/>
    <n v="1666"/>
    <n v="254"/>
    <n v="0.15246098439375749"/>
    <n v="250"/>
    <n v="0.15006002400960383"/>
    <n v="0"/>
    <n v="0"/>
    <n v="114"/>
    <n v="6.8427370948379349E-2"/>
    <n v="1552"/>
    <n v="0.931572629051620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666"/>
    <n v="3510.7702060000001"/>
    <n v="639.70860000000005"/>
    <n v="3776.2914000000001"/>
    <n v="153.154968"/>
    <n v="362.36622599999998"/>
    <n v="1155.2297939999999"/>
    <n v="955.59680000000003"/>
    <n v="2110.8265940000001"/>
    <n v="5621.5968000000003"/>
  </r>
  <r>
    <x v="1"/>
    <n v="7000"/>
    <n v="5101.8369999999995"/>
    <n v="959.7"/>
    <n v="5790.3"/>
    <n v="394.83600000000001"/>
    <n v="543.62699999999995"/>
    <n v="1898.163"/>
    <n v="1433.6000000000001"/>
    <n v="3331.7629999999999"/>
    <n v="8433.59999999999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0A3B1-D705-4DB0-89A1-B58CE999093F}" name="PivotTable4" cacheId="1" dataOnRows="1" applyNumberFormats="0" applyBorderFormats="0" applyFontFormats="0" applyPatternFormats="0" applyAlignmentFormats="0" applyWidthHeightFormats="1" dataCaption="Sales Report" updatedVersion="8" minRefreshableVersion="3" useAutoFormatting="1" itemPrintTitles="1" createdVersion="8" indent="0" outline="1" outlineData="1" multipleFieldFilters="0" rowHeaderCaption="Date">
  <location ref="E1:F14" firstHeaderRow="1" firstDataRow="1" firstDataCol="1"/>
  <pivotFields count="17">
    <pivotField numFmtId="16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numFmtId="165" showAll="0"/>
    <pivotField numFmtId="165" showAll="0"/>
    <pivotField numFmtId="165" showAll="0"/>
    <pivotField showAll="0"/>
    <pivotField dataField="1" numFmtId="165" showAll="0"/>
    <pivotField dataField="1" numFmtId="165" showAll="0"/>
    <pivotField dataField="1" numFmtId="165" showAll="0"/>
    <pivotField dataField="1" numFmtId="10" showAll="0"/>
    <pivotField dataField="1" numFmtId="165" showAll="0"/>
    <pivotField dataField="1" numFmtId="10" showAll="0"/>
    <pivotField dataField="1" numFmtId="165" showAll="0"/>
    <pivotField dataField="1" numFmtId="10" showAll="0"/>
    <pivotField dataField="1" numFmtId="165" showAll="0"/>
    <pivotField dataField="1" numFmtId="10" showAll="0"/>
    <pivotField dataField="1" numFmtId="165" showAll="0"/>
    <pivotField dataField="1" numFmtId="10" showAl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Items count="1">
    <i/>
  </colItems>
  <dataFields count="13">
    <dataField name="Revenue" fld="1" baseField="0" baseItem="0" numFmtId="165"/>
    <dataField name=" Total VAT" fld="5" baseField="0" baseItem="0" numFmtId="165"/>
    <dataField name="Total Gross Sale" fld="6" baseField="0" baseItem="0" numFmtId="165"/>
    <dataField name="Total Dowoz" fld="7" baseField="0" baseItem="0" numFmtId="165"/>
    <dataField name="Average of Dowoz Sales %" fld="8" subtotal="average" baseField="0" baseItem="0" numFmtId="10"/>
    <dataField name="Total Pyshne" fld="9" baseField="0" baseItem="0" numFmtId="165"/>
    <dataField name="Average of Pyshne Sales %" fld="10" subtotal="average" baseField="0" baseItem="0" numFmtId="10"/>
    <dataField name="Total Glovo" fld="11" baseField="0" baseItem="0" numFmtId="165"/>
    <dataField name="Average of Glovo Sales %" fld="12" subtotal="average" baseField="0" baseItem="0" numFmtId="10"/>
    <dataField name="TotalSales By Cash" fld="13" baseField="0" baseItem="0" numFmtId="165"/>
    <dataField name="Average of Cash Sales %" fld="14" subtotal="average" baseField="0" baseItem="0" numFmtId="10"/>
    <dataField name="Total Sales By Card" fld="15" baseField="0" baseItem="0" numFmtId="165"/>
    <dataField name="Average of Card Sales %" fld="16" subtotal="average" baseField="0" baseItem="0" numFmtId="1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-2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56D80-847A-4739-9B72-38F1898312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ganization">
  <location ref="A1:C19" firstHeaderRow="0" firstDataRow="1" firstDataCol="1"/>
  <pivotFields count="13">
    <pivotField numFmtId="16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showAll="0">
      <items count="18">
        <item sd="0" x="15"/>
        <item x="6"/>
        <item x="1"/>
        <item x="5"/>
        <item x="9"/>
        <item x="13"/>
        <item x="8"/>
        <item x="10"/>
        <item x="11"/>
        <item x="2"/>
        <item x="16"/>
        <item x="14"/>
        <item x="7"/>
        <item x="0"/>
        <item x="12"/>
        <item x="4"/>
        <item x="3"/>
        <item t="default"/>
      </items>
    </pivotField>
    <pivotField dataField="1" numFmtId="165" showAll="0"/>
    <pivotField showAll="0"/>
    <pivotField showAll="0"/>
    <pivotField showAll="0"/>
    <pivotField dataField="1" numFmtId="165" showAll="0"/>
    <pivotField numFmtId="165" showAll="0"/>
    <pivotField showAll="0"/>
    <pivotField showAll="0">
      <items count="2"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et Cost" fld="2" baseField="0" baseItem="0" numFmtId="165"/>
    <dataField name=" Total Expense VAT" fld="6" baseField="0" baseItem="0" numFmtId="165"/>
  </dataFields>
  <formats count="12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058A1-48FB-46BC-9468-BB61A9D4CEC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">
  <location ref="A22:D25" firstHeaderRow="0" firstDataRow="1" firstDataCol="1"/>
  <pivotFields count="11">
    <pivotField axis="axisRow" showAll="0">
      <items count="3">
        <item x="0"/>
        <item x="1"/>
        <item t="default"/>
      </items>
    </pivotField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et Salary Employee" fld="2" baseField="0" baseItem="0" numFmtId="165"/>
    <dataField name="Total Zus CNTR" fld="9" baseField="0" baseItem="0" numFmtId="165"/>
    <dataField name=" Total Expense Per Employee" fld="10" baseField="0" baseItem="0" numFmtId="165"/>
  </dataFields>
  <formats count="12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16A73F-8EDE-4198-8E29-54AEC2C252C0}" name="CostTable" displayName="CostTable" ref="A1:E58" totalsRowShown="0" headerRowDxfId="52">
  <autoFilter ref="A1:E58" xr:uid="{2816A73F-8EDE-4198-8E29-54AEC2C252C0}"/>
  <tableColumns count="5">
    <tableColumn id="1" xr3:uid="{B106A353-6775-4D6D-9AB3-DA9002147B7D}" name="Date" dataDxfId="51"/>
    <tableColumn id="2" xr3:uid="{3E439E92-0D23-4BAA-A0BC-7E2F32188C2B}" name="Organization" dataDxfId="50"/>
    <tableColumn id="3" xr3:uid="{9F6A8900-AFB9-4317-A247-103919C617B6}" name="Net Cost" dataDxfId="49"/>
    <tableColumn id="4" xr3:uid="{FB32FFAF-9E0A-43CA-9DA6-B8C5EA0228BA}" name="Total Expense VAT" dataDxfId="48">
      <calculatedColumnFormula>F2+G2+H2</calculatedColumnFormula>
    </tableColumn>
    <tableColumn id="5" xr3:uid="{46E2A02F-5A72-4BB1-9720-F22C3E754961}" name="Gross Cost" dataDxfId="47">
      <calculatedColumnFormula>C2+F2+G2+H2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AE25B6-C749-4323-BB7B-BBCF1119B170}" name="LaborTable" displayName="LaborTable" ref="A1:L3" totalsRowShown="0" headerRowDxfId="46">
  <autoFilter ref="A1:L3" xr:uid="{11AE25B6-C749-4323-BB7B-BBCF1119B170}"/>
  <tableColumns count="12">
    <tableColumn id="12" xr3:uid="{722F9720-5A35-4FF7-9DB3-D20E5EA7B560}" name="Date" dataDxfId="45"/>
    <tableColumn id="1" xr3:uid="{23FC0D00-914B-433F-BC6C-77FD301E029C}" name="Employee name"/>
    <tableColumn id="2" xr3:uid="{3168AF5D-EBD2-4198-91BB-08D2F281B63D}" name="Gross Salary" dataDxfId="44"/>
    <tableColumn id="3" xr3:uid="{9FF1B29B-90C6-49ED-9350-B49D2F91B0F9}" name="Net Salary" dataDxfId="43">
      <calculatedColumnFormula>C2-I2</calculatedColumnFormula>
    </tableColumn>
    <tableColumn id="4" xr3:uid="{92B78079-4D3C-4AA6-B8C7-8F9DC9D1FCA3}" name="Social Contribution" dataDxfId="42">
      <calculatedColumnFormula>C2*$R$5</calculatedColumnFormula>
    </tableColumn>
    <tableColumn id="5" xr3:uid="{18D0EF7D-ED52-42ED-9274-D0C6F11B6722}" name="Tax Base" dataDxfId="41">
      <calculatedColumnFormula>(C2-E2)-$U$3</calculatedColumnFormula>
    </tableColumn>
    <tableColumn id="6" xr3:uid="{E7683EBB-3FC6-4D01-920E-5ECB3DEAE435}" name="PIT" dataDxfId="40">
      <calculatedColumnFormula>(F2*$S$2)-$U$2</calculatedColumnFormula>
    </tableColumn>
    <tableColumn id="7" xr3:uid="{3B3FA905-6B95-4587-907D-A7E5546A308F}" name="NFZ Cost" dataDxfId="39">
      <calculatedColumnFormula>(C2-E2)*$U$4</calculatedColumnFormula>
    </tableColumn>
    <tableColumn id="8" xr3:uid="{FBA65FBE-5B92-4B7E-A1D7-3635ACAFA5CD}" name="ZUS Employee" dataDxfId="38">
      <calculatedColumnFormula>E2+G2+H2</calculatedColumnFormula>
    </tableColumn>
    <tableColumn id="9" xr3:uid="{1F59D5C9-E60D-4574-AEEF-CD66F2947142}" name="ZUS Empolyer" dataDxfId="37">
      <calculatedColumnFormula>C2*20.48%</calculatedColumnFormula>
    </tableColumn>
    <tableColumn id="10" xr3:uid="{291B279D-B3D7-47AB-89DD-AC22DE486261}" name="Total Zus" dataDxfId="36">
      <calculatedColumnFormula>I2+J2</calculatedColumnFormula>
    </tableColumn>
    <tableColumn id="11" xr3:uid="{D47F2B9F-6FDA-4136-AFD0-320AFCED5AAD}" name="Total Expense Per Employee" dataDxfId="35">
      <calculatedColumnFormula>D2+K2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5BE58-4318-4FA1-925E-C9ACBF46EDD2}" name="Table1" displayName="Table1" ref="A1:A22" totalsRowShown="0" headerRowDxfId="34">
  <autoFilter ref="A1:A22" xr:uid="{7CA5BE58-4318-4FA1-925E-C9ACBF46EDD2}"/>
  <sortState xmlns:xlrd2="http://schemas.microsoft.com/office/spreadsheetml/2017/richdata2" ref="A2:A22">
    <sortCondition ref="A1:A22"/>
  </sortState>
  <tableColumns count="1">
    <tableColumn id="1" xr3:uid="{91637FCF-0FFA-4878-A47A-9D947E29BFAC}" name="Organiz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A46F6-B3D0-4F75-B1C8-C75AF6EB7C96}" name="SalesTable" displayName="SalesTable" ref="A1:D32" totalsRowShown="0" headerRowDxfId="33">
  <autoFilter ref="A1:D32" xr:uid="{94DA46F6-B3D0-4F75-B1C8-C75AF6EB7C96}"/>
  <tableColumns count="4">
    <tableColumn id="1" xr3:uid="{DEF5D2D1-E285-4B82-AAFA-0E45BA8FD23D}" name="Date" dataDxfId="32"/>
    <tableColumn id="2" xr3:uid="{1ED13DB2-7DBC-4636-8D3A-5A83D520CD5C}" name="Net Sale" dataDxfId="31">
      <calculatedColumnFormula>D2-C2</calculatedColumnFormula>
    </tableColumn>
    <tableColumn id="3" xr3:uid="{F5332FD7-E61F-49A8-98CF-D632B01C02F6}" name="Total VAT" dataDxfId="30">
      <calculatedColumnFormula>E2+F2+G2</calculatedColumnFormula>
    </tableColumn>
    <tableColumn id="4" xr3:uid="{B9E2E796-348D-4F02-B16F-9915F6E3D54E}" name="Gross Sale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B592-8E3C-4C2F-85B3-1D986754A851}">
  <sheetPr>
    <pageSetUpPr autoPageBreaks="0"/>
  </sheetPr>
  <dimension ref="A1:O58"/>
  <sheetViews>
    <sheetView workbookViewId="0">
      <selection activeCell="G9" sqref="G9"/>
    </sheetView>
  </sheetViews>
  <sheetFormatPr defaultRowHeight="15" x14ac:dyDescent="0.25"/>
  <cols>
    <col min="1" max="1" width="9.7109375" style="1" bestFit="1" customWidth="1"/>
    <col min="2" max="2" width="19.42578125" style="1" customWidth="1"/>
    <col min="3" max="3" width="12" style="3" bestFit="1" customWidth="1"/>
    <col min="4" max="4" width="19.42578125" style="3" customWidth="1"/>
    <col min="5" max="5" width="13.140625" style="3" customWidth="1"/>
    <col min="6" max="6" width="10.42578125" style="3" customWidth="1"/>
    <col min="7" max="7" width="9.42578125" style="3" customWidth="1"/>
    <col min="8" max="8" width="10.28515625" style="3" customWidth="1"/>
    <col min="9" max="9" width="33.85546875" style="7" bestFit="1" customWidth="1"/>
    <col min="10" max="10" width="17.140625" customWidth="1"/>
  </cols>
  <sheetData>
    <row r="1" spans="1:15" s="5" customFormat="1" x14ac:dyDescent="0.25">
      <c r="A1" s="4" t="s">
        <v>0</v>
      </c>
      <c r="B1" s="5" t="s">
        <v>1</v>
      </c>
      <c r="C1" s="2" t="s">
        <v>5</v>
      </c>
      <c r="D1" s="2" t="s">
        <v>6</v>
      </c>
      <c r="E1" s="2" t="s">
        <v>7</v>
      </c>
      <c r="F1" s="2" t="s">
        <v>2</v>
      </c>
      <c r="G1" s="2" t="s">
        <v>3</v>
      </c>
      <c r="H1" s="2" t="s">
        <v>4</v>
      </c>
      <c r="I1" s="5" t="s">
        <v>9</v>
      </c>
      <c r="J1" s="5" t="s">
        <v>14</v>
      </c>
    </row>
    <row r="2" spans="1:15" s="5" customFormat="1" x14ac:dyDescent="0.25">
      <c r="A2" s="1">
        <v>45992</v>
      </c>
      <c r="B2" s="1" t="s">
        <v>46</v>
      </c>
      <c r="C2" s="9">
        <v>6120.81</v>
      </c>
      <c r="D2" s="3">
        <f t="shared" ref="D2:D33" si="0">F2+G2+H2</f>
        <v>376.32000000000005</v>
      </c>
      <c r="E2" s="3">
        <f t="shared" ref="E2:E33" si="1">C2+F2+G2+H2</f>
        <v>6497.13</v>
      </c>
      <c r="F2" s="9">
        <v>67.62</v>
      </c>
      <c r="G2" s="9">
        <v>46.28</v>
      </c>
      <c r="H2" s="9">
        <v>262.42</v>
      </c>
      <c r="I2" s="7" t="s">
        <v>47</v>
      </c>
      <c r="J2" s="6" t="b">
        <v>1</v>
      </c>
    </row>
    <row r="3" spans="1:15" s="5" customFormat="1" x14ac:dyDescent="0.25">
      <c r="A3" s="1">
        <v>45992</v>
      </c>
      <c r="B3" s="1" t="s">
        <v>46</v>
      </c>
      <c r="C3" s="9">
        <v>4626.92</v>
      </c>
      <c r="D3" s="3">
        <f t="shared" si="0"/>
        <v>273.92</v>
      </c>
      <c r="E3" s="3">
        <f t="shared" si="1"/>
        <v>4900.84</v>
      </c>
      <c r="F3" s="9">
        <v>32.43</v>
      </c>
      <c r="G3" s="9">
        <v>45.84</v>
      </c>
      <c r="H3" s="9">
        <v>195.65</v>
      </c>
      <c r="I3" s="7" t="s">
        <v>48</v>
      </c>
      <c r="J3" s="6" t="b">
        <v>1</v>
      </c>
    </row>
    <row r="4" spans="1:15" x14ac:dyDescent="0.25">
      <c r="A4" s="1">
        <v>45992</v>
      </c>
      <c r="B4" s="1" t="s">
        <v>8</v>
      </c>
      <c r="C4" s="3">
        <v>17.03</v>
      </c>
      <c r="D4" s="3">
        <f t="shared" si="0"/>
        <v>0.85</v>
      </c>
      <c r="E4" s="3">
        <f t="shared" si="1"/>
        <v>17.880000000000003</v>
      </c>
      <c r="H4" s="3">
        <v>0.85</v>
      </c>
      <c r="I4" s="7" t="s">
        <v>10</v>
      </c>
      <c r="J4" s="6" t="b">
        <v>1</v>
      </c>
    </row>
    <row r="5" spans="1:15" x14ac:dyDescent="0.25">
      <c r="A5" s="1">
        <v>45992</v>
      </c>
      <c r="B5" s="1" t="s">
        <v>8</v>
      </c>
      <c r="C5" s="3">
        <v>17.03</v>
      </c>
      <c r="D5" s="3">
        <f t="shared" si="0"/>
        <v>0.85</v>
      </c>
      <c r="E5" s="3">
        <f t="shared" si="1"/>
        <v>17.880000000000003</v>
      </c>
      <c r="H5" s="3">
        <v>0.85</v>
      </c>
      <c r="I5" s="7" t="s">
        <v>11</v>
      </c>
      <c r="J5" s="6" t="b">
        <v>1</v>
      </c>
    </row>
    <row r="6" spans="1:15" x14ac:dyDescent="0.25">
      <c r="A6" s="1">
        <v>45992</v>
      </c>
      <c r="B6" s="1" t="s">
        <v>8</v>
      </c>
      <c r="C6" s="3">
        <v>101.15</v>
      </c>
      <c r="D6" s="3">
        <f t="shared" si="0"/>
        <v>12.870000000000001</v>
      </c>
      <c r="E6" s="3">
        <f t="shared" si="1"/>
        <v>114.02000000000001</v>
      </c>
      <c r="F6" s="3">
        <v>9.98</v>
      </c>
      <c r="H6" s="3">
        <v>2.89</v>
      </c>
      <c r="I6" s="7" t="s">
        <v>19</v>
      </c>
      <c r="J6" s="6" t="b">
        <v>1</v>
      </c>
    </row>
    <row r="7" spans="1:15" x14ac:dyDescent="0.25">
      <c r="A7" s="1">
        <v>45993</v>
      </c>
      <c r="B7" s="1" t="s">
        <v>17</v>
      </c>
      <c r="C7" s="3">
        <v>44.28</v>
      </c>
      <c r="D7" s="3">
        <f t="shared" si="0"/>
        <v>2.21</v>
      </c>
      <c r="E7" s="3">
        <f t="shared" si="1"/>
        <v>46.49</v>
      </c>
      <c r="H7" s="3">
        <v>2.21</v>
      </c>
      <c r="I7" s="7" t="s">
        <v>18</v>
      </c>
      <c r="J7" s="6" t="b">
        <v>1</v>
      </c>
      <c r="N7" s="8" t="s">
        <v>26</v>
      </c>
      <c r="O7">
        <f>SUMIF(J2:J65,"true",E2:E65)</f>
        <v>41741.090000000026</v>
      </c>
    </row>
    <row r="8" spans="1:15" x14ac:dyDescent="0.25">
      <c r="A8" s="1">
        <v>45993</v>
      </c>
      <c r="B8" s="1" t="s">
        <v>8</v>
      </c>
      <c r="C8" s="3">
        <v>17.03</v>
      </c>
      <c r="D8" s="3">
        <f t="shared" si="0"/>
        <v>0.85</v>
      </c>
      <c r="E8" s="3">
        <f t="shared" si="1"/>
        <v>17.880000000000003</v>
      </c>
      <c r="H8" s="3">
        <v>0.85</v>
      </c>
      <c r="I8" s="7" t="s">
        <v>13</v>
      </c>
      <c r="J8" s="6" t="b">
        <v>1</v>
      </c>
      <c r="N8" s="8" t="s">
        <v>27</v>
      </c>
      <c r="O8">
        <f>SUMIF(J2:J65,"false",E2:E65)</f>
        <v>0</v>
      </c>
    </row>
    <row r="9" spans="1:15" x14ac:dyDescent="0.25">
      <c r="A9" s="1">
        <v>45993</v>
      </c>
      <c r="B9" s="1" t="s">
        <v>8</v>
      </c>
      <c r="C9" s="3">
        <v>143.58000000000001</v>
      </c>
      <c r="D9" s="3">
        <f t="shared" si="0"/>
        <v>7.33</v>
      </c>
      <c r="E9" s="3">
        <f t="shared" si="1"/>
        <v>150.91</v>
      </c>
      <c r="G9" s="3">
        <v>0.41</v>
      </c>
      <c r="H9" s="3">
        <v>6.92</v>
      </c>
      <c r="I9" s="7" t="s">
        <v>16</v>
      </c>
      <c r="J9" s="6" t="b">
        <v>1</v>
      </c>
      <c r="N9" s="8" t="s">
        <v>28</v>
      </c>
      <c r="O9">
        <f>O7+O8</f>
        <v>41741.090000000026</v>
      </c>
    </row>
    <row r="10" spans="1:15" x14ac:dyDescent="0.25">
      <c r="A10" s="1">
        <v>45993</v>
      </c>
      <c r="B10" s="1" t="s">
        <v>8</v>
      </c>
      <c r="C10" s="3">
        <v>17.03</v>
      </c>
      <c r="D10" s="3">
        <f t="shared" si="0"/>
        <v>0.85</v>
      </c>
      <c r="E10" s="3">
        <f t="shared" si="1"/>
        <v>17.880000000000003</v>
      </c>
      <c r="H10" s="3">
        <v>0.85</v>
      </c>
      <c r="I10" s="7" t="s">
        <v>12</v>
      </c>
      <c r="J10" s="6" t="b">
        <v>1</v>
      </c>
    </row>
    <row r="11" spans="1:15" x14ac:dyDescent="0.25">
      <c r="A11" s="1">
        <v>45993</v>
      </c>
      <c r="B11" s="1" t="s">
        <v>8</v>
      </c>
      <c r="C11" s="3">
        <v>137.79</v>
      </c>
      <c r="D11" s="3">
        <f t="shared" si="0"/>
        <v>6.89</v>
      </c>
      <c r="E11" s="3">
        <f t="shared" si="1"/>
        <v>144.67999999999998</v>
      </c>
      <c r="H11" s="3">
        <v>6.89</v>
      </c>
      <c r="I11" s="7" t="s">
        <v>15</v>
      </c>
      <c r="J11" s="6" t="b">
        <v>1</v>
      </c>
    </row>
    <row r="12" spans="1:15" x14ac:dyDescent="0.25">
      <c r="A12" s="1">
        <v>45994</v>
      </c>
      <c r="B12" s="1" t="s">
        <v>50</v>
      </c>
      <c r="C12" s="3">
        <v>1476</v>
      </c>
      <c r="D12" s="3">
        <f t="shared" si="0"/>
        <v>339.48</v>
      </c>
      <c r="E12" s="3">
        <f t="shared" si="1"/>
        <v>1815.48</v>
      </c>
      <c r="F12" s="3">
        <v>339.48</v>
      </c>
      <c r="I12" s="7" t="s">
        <v>51</v>
      </c>
      <c r="J12" s="6" t="b">
        <v>1</v>
      </c>
    </row>
    <row r="13" spans="1:15" x14ac:dyDescent="0.25">
      <c r="A13" s="1">
        <v>45994</v>
      </c>
      <c r="B13" s="1" t="s">
        <v>52</v>
      </c>
      <c r="C13" s="3">
        <v>703.8</v>
      </c>
      <c r="D13" s="3">
        <f t="shared" si="0"/>
        <v>145.07000000000002</v>
      </c>
      <c r="E13" s="3">
        <f t="shared" si="1"/>
        <v>848.87</v>
      </c>
      <c r="F13" s="3">
        <v>136.11000000000001</v>
      </c>
      <c r="G13" s="3">
        <v>8.9600000000000009</v>
      </c>
      <c r="I13" s="7" t="s">
        <v>53</v>
      </c>
      <c r="J13" s="6" t="b">
        <v>1</v>
      </c>
    </row>
    <row r="14" spans="1:15" x14ac:dyDescent="0.25">
      <c r="A14" s="1">
        <v>45994</v>
      </c>
      <c r="B14" s="1" t="s">
        <v>46</v>
      </c>
      <c r="C14" s="3">
        <v>4926.74</v>
      </c>
      <c r="D14" s="3">
        <f t="shared" si="0"/>
        <v>307.32</v>
      </c>
      <c r="E14" s="3">
        <f t="shared" si="1"/>
        <v>5234.0599999999995</v>
      </c>
      <c r="F14" s="3">
        <v>63.8</v>
      </c>
      <c r="G14" s="3">
        <v>29.48</v>
      </c>
      <c r="H14" s="3">
        <v>214.04</v>
      </c>
      <c r="I14" s="7" t="s">
        <v>49</v>
      </c>
      <c r="J14" s="6" t="b">
        <v>1</v>
      </c>
    </row>
    <row r="15" spans="1:15" x14ac:dyDescent="0.25">
      <c r="A15" s="1">
        <v>45994</v>
      </c>
      <c r="B15" s="1" t="s">
        <v>20</v>
      </c>
      <c r="C15" s="3">
        <v>4270.66</v>
      </c>
      <c r="D15" s="3">
        <f t="shared" si="0"/>
        <v>266.98</v>
      </c>
      <c r="E15" s="3">
        <f t="shared" si="1"/>
        <v>4537.6399999999994</v>
      </c>
      <c r="F15" s="3">
        <v>54.74</v>
      </c>
      <c r="G15" s="3">
        <v>28.28</v>
      </c>
      <c r="H15" s="3">
        <v>183.96</v>
      </c>
      <c r="I15" s="7" t="s">
        <v>21</v>
      </c>
      <c r="J15" s="6" t="b">
        <v>1</v>
      </c>
    </row>
    <row r="16" spans="1:15" x14ac:dyDescent="0.25">
      <c r="A16" s="1">
        <v>45995</v>
      </c>
      <c r="B16" s="1" t="s">
        <v>56</v>
      </c>
      <c r="C16" s="3">
        <v>62.54</v>
      </c>
      <c r="D16" s="3">
        <f t="shared" si="0"/>
        <v>14.39</v>
      </c>
      <c r="E16" s="3">
        <f t="shared" si="1"/>
        <v>76.930000000000007</v>
      </c>
      <c r="F16" s="3">
        <v>14.39</v>
      </c>
      <c r="I16" s="7" t="s">
        <v>15</v>
      </c>
      <c r="J16" s="6" t="b">
        <v>1</v>
      </c>
    </row>
    <row r="17" spans="1:10" x14ac:dyDescent="0.25">
      <c r="A17" s="1">
        <v>45995</v>
      </c>
      <c r="B17" s="1" t="s">
        <v>56</v>
      </c>
      <c r="C17" s="3">
        <v>114.34</v>
      </c>
      <c r="D17" s="3">
        <f t="shared" si="0"/>
        <v>26.3</v>
      </c>
      <c r="E17" s="3">
        <f t="shared" si="1"/>
        <v>140.64000000000001</v>
      </c>
      <c r="F17" s="3">
        <v>26.3</v>
      </c>
      <c r="I17" s="7" t="s">
        <v>15</v>
      </c>
      <c r="J17" s="6" t="b">
        <v>1</v>
      </c>
    </row>
    <row r="18" spans="1:10" x14ac:dyDescent="0.25">
      <c r="A18" s="1">
        <v>45995</v>
      </c>
      <c r="B18" s="1" t="s">
        <v>8</v>
      </c>
      <c r="C18" s="3">
        <v>339.74</v>
      </c>
      <c r="D18" s="3">
        <f t="shared" si="0"/>
        <v>47.44</v>
      </c>
      <c r="E18" s="3">
        <f t="shared" si="1"/>
        <v>387.17999999999995</v>
      </c>
      <c r="F18" s="3">
        <v>38.909999999999997</v>
      </c>
      <c r="G18" s="3">
        <v>8.5299999999999994</v>
      </c>
      <c r="I18" s="7" t="s">
        <v>22</v>
      </c>
      <c r="J18" s="6" t="b">
        <v>1</v>
      </c>
    </row>
    <row r="19" spans="1:10" x14ac:dyDescent="0.25">
      <c r="A19" s="1">
        <v>45996</v>
      </c>
      <c r="B19" s="1" t="s">
        <v>8</v>
      </c>
      <c r="C19" s="3">
        <v>64.28</v>
      </c>
      <c r="D19" s="3">
        <f t="shared" si="0"/>
        <v>6.23</v>
      </c>
      <c r="E19" s="3">
        <f t="shared" si="1"/>
        <v>70.510000000000005</v>
      </c>
      <c r="F19" s="3">
        <v>3.15</v>
      </c>
      <c r="G19" s="3">
        <v>1.48</v>
      </c>
      <c r="H19" s="3">
        <v>1.6</v>
      </c>
      <c r="I19" s="7" t="s">
        <v>24</v>
      </c>
      <c r="J19" s="6" t="b">
        <v>1</v>
      </c>
    </row>
    <row r="20" spans="1:10" x14ac:dyDescent="0.25">
      <c r="A20" s="1">
        <v>45996</v>
      </c>
      <c r="B20" s="1" t="s">
        <v>46</v>
      </c>
      <c r="C20" s="3">
        <v>3512.14</v>
      </c>
      <c r="D20" s="3">
        <f t="shared" si="0"/>
        <v>196.67</v>
      </c>
      <c r="E20" s="3">
        <f t="shared" si="1"/>
        <v>3708.8100000000004</v>
      </c>
      <c r="F20" s="3">
        <v>18.86</v>
      </c>
      <c r="G20" s="3">
        <v>16.8</v>
      </c>
      <c r="H20" s="3">
        <v>161.01</v>
      </c>
      <c r="I20" s="7" t="s">
        <v>62</v>
      </c>
      <c r="J20" s="6" t="b">
        <v>1</v>
      </c>
    </row>
    <row r="21" spans="1:10" x14ac:dyDescent="0.25">
      <c r="A21" s="1">
        <v>45997</v>
      </c>
      <c r="B21" s="1" t="s">
        <v>8</v>
      </c>
      <c r="C21" s="3">
        <v>119.72</v>
      </c>
      <c r="D21" s="3">
        <f t="shared" si="0"/>
        <v>17.989999999999998</v>
      </c>
      <c r="E21" s="3">
        <f t="shared" si="1"/>
        <v>137.71</v>
      </c>
      <c r="F21" s="3">
        <v>14.85</v>
      </c>
      <c r="G21" s="3">
        <v>1.03</v>
      </c>
      <c r="H21" s="3">
        <v>2.11</v>
      </c>
      <c r="I21" s="7" t="s">
        <v>23</v>
      </c>
      <c r="J21" s="6" t="b">
        <v>1</v>
      </c>
    </row>
    <row r="22" spans="1:10" x14ac:dyDescent="0.25">
      <c r="A22" s="1">
        <v>45998</v>
      </c>
      <c r="B22" s="1" t="s">
        <v>87</v>
      </c>
      <c r="C22" s="3">
        <v>337.65</v>
      </c>
      <c r="D22" s="3">
        <f t="shared" si="0"/>
        <v>77.66</v>
      </c>
      <c r="E22" s="3">
        <f t="shared" si="1"/>
        <v>415.30999999999995</v>
      </c>
      <c r="F22" s="3">
        <v>77.66</v>
      </c>
      <c r="I22" s="7" t="s">
        <v>89</v>
      </c>
      <c r="J22" s="6" t="b">
        <v>1</v>
      </c>
    </row>
    <row r="23" spans="1:10" x14ac:dyDescent="0.25">
      <c r="A23" s="1">
        <v>45999</v>
      </c>
      <c r="B23" s="1" t="s">
        <v>25</v>
      </c>
      <c r="C23" s="3">
        <v>1032.72</v>
      </c>
      <c r="D23" s="3">
        <f t="shared" si="0"/>
        <v>219.69</v>
      </c>
      <c r="E23" s="3">
        <f t="shared" si="1"/>
        <v>1252.4100000000001</v>
      </c>
      <c r="F23" s="3">
        <v>214.73</v>
      </c>
      <c r="H23" s="3">
        <v>4.96</v>
      </c>
      <c r="I23" s="7">
        <v>543920791</v>
      </c>
      <c r="J23" s="6" t="b">
        <v>1</v>
      </c>
    </row>
    <row r="24" spans="1:10" x14ac:dyDescent="0.25">
      <c r="A24" s="1">
        <v>45999</v>
      </c>
      <c r="B24" s="1" t="s">
        <v>25</v>
      </c>
      <c r="C24" s="3">
        <v>108</v>
      </c>
      <c r="D24" s="3">
        <f t="shared" si="0"/>
        <v>0</v>
      </c>
      <c r="E24" s="3">
        <f t="shared" si="1"/>
        <v>108</v>
      </c>
      <c r="F24" s="3">
        <v>0</v>
      </c>
      <c r="I24" s="7">
        <v>543920791</v>
      </c>
      <c r="J24" s="6" t="b">
        <v>1</v>
      </c>
    </row>
    <row r="25" spans="1:10" x14ac:dyDescent="0.25">
      <c r="A25" s="1">
        <v>46000</v>
      </c>
      <c r="B25" s="1" t="s">
        <v>8</v>
      </c>
      <c r="C25" s="3">
        <v>104.59</v>
      </c>
      <c r="D25" s="3">
        <f t="shared" si="0"/>
        <v>7.68</v>
      </c>
      <c r="E25" s="3">
        <f t="shared" si="1"/>
        <v>112.27</v>
      </c>
      <c r="F25" s="3">
        <v>2.82</v>
      </c>
      <c r="G25" s="3">
        <v>0.65</v>
      </c>
      <c r="H25" s="3">
        <v>4.21</v>
      </c>
      <c r="I25" s="7" t="s">
        <v>29</v>
      </c>
      <c r="J25" s="6" t="b">
        <v>1</v>
      </c>
    </row>
    <row r="26" spans="1:10" s="17" customFormat="1" x14ac:dyDescent="0.25">
      <c r="A26" s="13">
        <v>46002</v>
      </c>
      <c r="B26" s="13" t="s">
        <v>46</v>
      </c>
      <c r="C26" s="14">
        <v>3938</v>
      </c>
      <c r="D26" s="14">
        <f t="shared" si="0"/>
        <v>196.9</v>
      </c>
      <c r="E26" s="14">
        <f t="shared" si="1"/>
        <v>4134.8999999999996</v>
      </c>
      <c r="F26" s="14"/>
      <c r="G26" s="14"/>
      <c r="H26" s="14">
        <v>196.9</v>
      </c>
      <c r="I26" s="15" t="s">
        <v>99</v>
      </c>
      <c r="J26" s="16" t="b">
        <v>1</v>
      </c>
    </row>
    <row r="27" spans="1:10" x14ac:dyDescent="0.25">
      <c r="A27" s="1">
        <v>46003</v>
      </c>
      <c r="B27" s="1" t="s">
        <v>8</v>
      </c>
      <c r="C27" s="3">
        <v>155.08000000000001</v>
      </c>
      <c r="D27" s="3">
        <f t="shared" si="0"/>
        <v>12.08</v>
      </c>
      <c r="E27" s="3">
        <f t="shared" si="1"/>
        <v>167.16000000000003</v>
      </c>
      <c r="F27" s="3">
        <v>5.53</v>
      </c>
      <c r="H27" s="3">
        <v>6.55</v>
      </c>
      <c r="I27" s="7" t="s">
        <v>30</v>
      </c>
      <c r="J27" s="6" t="b">
        <v>1</v>
      </c>
    </row>
    <row r="28" spans="1:10" x14ac:dyDescent="0.25">
      <c r="A28" s="1">
        <v>46004</v>
      </c>
      <c r="B28" s="1" t="s">
        <v>31</v>
      </c>
      <c r="C28" s="3">
        <v>97.81</v>
      </c>
      <c r="D28" s="3">
        <f t="shared" si="0"/>
        <v>4.8899999999999997</v>
      </c>
      <c r="E28" s="3">
        <f t="shared" si="1"/>
        <v>102.7</v>
      </c>
      <c r="H28" s="3">
        <v>4.8899999999999997</v>
      </c>
      <c r="I28" s="7" t="s">
        <v>32</v>
      </c>
      <c r="J28" s="6" t="b">
        <v>1</v>
      </c>
    </row>
    <row r="29" spans="1:10" x14ac:dyDescent="0.25">
      <c r="A29" s="1">
        <v>46005</v>
      </c>
      <c r="B29" s="1" t="s">
        <v>87</v>
      </c>
      <c r="C29" s="3">
        <v>208.39</v>
      </c>
      <c r="D29" s="3">
        <f t="shared" si="0"/>
        <v>47.94</v>
      </c>
      <c r="E29" s="3">
        <f t="shared" si="1"/>
        <v>256.33</v>
      </c>
      <c r="F29" s="3">
        <v>47.94</v>
      </c>
      <c r="I29" s="7" t="s">
        <v>90</v>
      </c>
      <c r="J29" s="6" t="b">
        <v>1</v>
      </c>
    </row>
    <row r="30" spans="1:10" x14ac:dyDescent="0.25">
      <c r="A30" s="1">
        <v>46005</v>
      </c>
      <c r="B30" s="1" t="s">
        <v>8</v>
      </c>
      <c r="C30" s="3">
        <v>41.18</v>
      </c>
      <c r="D30" s="3">
        <f t="shared" si="0"/>
        <v>2.06</v>
      </c>
      <c r="E30" s="3">
        <f t="shared" si="1"/>
        <v>43.24</v>
      </c>
      <c r="H30" s="3">
        <v>2.06</v>
      </c>
      <c r="I30" s="7" t="s">
        <v>33</v>
      </c>
      <c r="J30" s="6" t="b">
        <v>1</v>
      </c>
    </row>
    <row r="31" spans="1:10" x14ac:dyDescent="0.25">
      <c r="A31" s="1">
        <v>46006</v>
      </c>
      <c r="B31" s="1" t="s">
        <v>88</v>
      </c>
      <c r="C31" s="3">
        <v>59.3</v>
      </c>
      <c r="D31" s="3">
        <f t="shared" si="0"/>
        <v>13.64</v>
      </c>
      <c r="E31" s="3">
        <f t="shared" si="1"/>
        <v>72.94</v>
      </c>
      <c r="F31" s="3">
        <v>13.64</v>
      </c>
      <c r="I31" s="7">
        <v>23010000191781</v>
      </c>
      <c r="J31" s="6" t="b">
        <v>1</v>
      </c>
    </row>
    <row r="32" spans="1:10" x14ac:dyDescent="0.25">
      <c r="A32" s="1">
        <v>46006</v>
      </c>
      <c r="B32" s="1" t="s">
        <v>8</v>
      </c>
      <c r="C32" s="3">
        <v>120.98</v>
      </c>
      <c r="D32" s="3">
        <f t="shared" si="0"/>
        <v>7.8199999999999994</v>
      </c>
      <c r="E32" s="3">
        <f t="shared" si="1"/>
        <v>128.80000000000001</v>
      </c>
      <c r="F32" s="3">
        <v>2.2599999999999998</v>
      </c>
      <c r="H32" s="3">
        <v>5.56</v>
      </c>
      <c r="I32" s="7" t="s">
        <v>34</v>
      </c>
      <c r="J32" s="6" t="b">
        <v>1</v>
      </c>
    </row>
    <row r="33" spans="1:10" x14ac:dyDescent="0.25">
      <c r="A33" s="1">
        <v>46009</v>
      </c>
      <c r="B33" s="1" t="s">
        <v>8</v>
      </c>
      <c r="C33" s="3">
        <v>81.290000000000006</v>
      </c>
      <c r="D33" s="3">
        <f t="shared" si="0"/>
        <v>10.799999999999999</v>
      </c>
      <c r="E33" s="3">
        <f t="shared" si="1"/>
        <v>92.09</v>
      </c>
      <c r="F33" s="3">
        <v>8.61</v>
      </c>
      <c r="H33" s="3">
        <v>2.19</v>
      </c>
      <c r="I33" s="7" t="s">
        <v>86</v>
      </c>
      <c r="J33" s="6" t="b">
        <v>1</v>
      </c>
    </row>
    <row r="34" spans="1:10" x14ac:dyDescent="0.25">
      <c r="A34" s="1">
        <v>46011</v>
      </c>
      <c r="B34" s="1" t="s">
        <v>17</v>
      </c>
      <c r="C34" s="3">
        <v>96.94</v>
      </c>
      <c r="D34" s="3">
        <f t="shared" ref="D34:D58" si="2">F34+G34+H34</f>
        <v>4.8499999999999996</v>
      </c>
      <c r="E34" s="3">
        <f t="shared" ref="E34:E65" si="3">C34+F34+G34+H34</f>
        <v>101.78999999999999</v>
      </c>
      <c r="H34" s="3">
        <v>4.8499999999999996</v>
      </c>
      <c r="I34" s="7" t="s">
        <v>35</v>
      </c>
      <c r="J34" s="6" t="b">
        <v>1</v>
      </c>
    </row>
    <row r="35" spans="1:10" x14ac:dyDescent="0.25">
      <c r="A35" s="1">
        <v>46011</v>
      </c>
      <c r="B35" s="1" t="s">
        <v>31</v>
      </c>
      <c r="C35" s="3">
        <v>95.48</v>
      </c>
      <c r="D35" s="3">
        <f t="shared" si="2"/>
        <v>16.48</v>
      </c>
      <c r="E35" s="3">
        <f t="shared" si="3"/>
        <v>111.96</v>
      </c>
      <c r="F35" s="3">
        <v>14.96</v>
      </c>
      <c r="H35" s="3">
        <v>1.52</v>
      </c>
      <c r="I35" s="7" t="s">
        <v>36</v>
      </c>
      <c r="J35" s="6" t="b">
        <v>1</v>
      </c>
    </row>
    <row r="36" spans="1:10" ht="16.5" customHeight="1" x14ac:dyDescent="0.25">
      <c r="A36" s="1">
        <v>46011</v>
      </c>
      <c r="B36" s="1" t="s">
        <v>37</v>
      </c>
      <c r="C36" s="3">
        <v>92.18</v>
      </c>
      <c r="D36" s="3">
        <f t="shared" si="2"/>
        <v>4.6100000000000003</v>
      </c>
      <c r="E36" s="3">
        <f t="shared" si="3"/>
        <v>96.79</v>
      </c>
      <c r="H36" s="3">
        <v>4.6100000000000003</v>
      </c>
      <c r="I36" s="7" t="s">
        <v>38</v>
      </c>
      <c r="J36" s="6" t="b">
        <v>1</v>
      </c>
    </row>
    <row r="37" spans="1:10" ht="16.5" customHeight="1" x14ac:dyDescent="0.25">
      <c r="A37" s="1">
        <v>46012</v>
      </c>
      <c r="B37" s="1" t="s">
        <v>8</v>
      </c>
      <c r="C37" s="3">
        <v>13.03</v>
      </c>
      <c r="D37" s="3">
        <f t="shared" si="2"/>
        <v>3</v>
      </c>
      <c r="E37" s="3">
        <f t="shared" si="3"/>
        <v>16.03</v>
      </c>
      <c r="F37" s="3">
        <v>3</v>
      </c>
      <c r="I37" s="7" t="s">
        <v>42</v>
      </c>
      <c r="J37" s="6" t="b">
        <v>1</v>
      </c>
    </row>
    <row r="38" spans="1:10" ht="16.5" customHeight="1" x14ac:dyDescent="0.25">
      <c r="A38" s="1">
        <v>46012</v>
      </c>
      <c r="B38" s="1" t="s">
        <v>8</v>
      </c>
      <c r="C38" s="3">
        <v>125.91</v>
      </c>
      <c r="D38" s="3">
        <f t="shared" si="2"/>
        <v>15.73</v>
      </c>
      <c r="E38" s="3">
        <f t="shared" si="3"/>
        <v>141.63999999999999</v>
      </c>
      <c r="F38" s="3">
        <v>12.06</v>
      </c>
      <c r="H38" s="3">
        <v>3.67</v>
      </c>
      <c r="I38" s="7" t="s">
        <v>43</v>
      </c>
      <c r="J38" s="6" t="b">
        <v>1</v>
      </c>
    </row>
    <row r="39" spans="1:10" ht="16.5" customHeight="1" x14ac:dyDescent="0.25">
      <c r="A39" s="1">
        <v>46013</v>
      </c>
      <c r="B39" s="1" t="s">
        <v>63</v>
      </c>
      <c r="C39" s="3">
        <v>445.76</v>
      </c>
      <c r="D39" s="3">
        <f t="shared" si="2"/>
        <v>28.21</v>
      </c>
      <c r="E39" s="3">
        <f t="shared" si="3"/>
        <v>473.97</v>
      </c>
      <c r="F39" s="3">
        <v>3.74</v>
      </c>
      <c r="G39" s="3">
        <v>8</v>
      </c>
      <c r="H39" s="3">
        <v>16.47</v>
      </c>
      <c r="I39" s="7" t="s">
        <v>64</v>
      </c>
      <c r="J39" s="6" t="b">
        <v>1</v>
      </c>
    </row>
    <row r="40" spans="1:10" x14ac:dyDescent="0.25">
      <c r="A40" s="1">
        <v>46013</v>
      </c>
      <c r="B40" s="1" t="s">
        <v>8</v>
      </c>
      <c r="C40" s="3">
        <v>273.95</v>
      </c>
      <c r="D40" s="3">
        <f t="shared" si="2"/>
        <v>23.67</v>
      </c>
      <c r="E40" s="3">
        <f t="shared" si="3"/>
        <v>297.62</v>
      </c>
      <c r="F40" s="3">
        <v>12.74</v>
      </c>
      <c r="H40" s="3">
        <v>10.93</v>
      </c>
      <c r="I40" s="7" t="s">
        <v>41</v>
      </c>
      <c r="J40" s="6" t="b">
        <v>1</v>
      </c>
    </row>
    <row r="41" spans="1:10" x14ac:dyDescent="0.25">
      <c r="A41" s="1">
        <v>46014</v>
      </c>
      <c r="B41" s="1" t="s">
        <v>39</v>
      </c>
      <c r="C41" s="3">
        <v>285.14</v>
      </c>
      <c r="D41" s="3">
        <f t="shared" si="2"/>
        <v>65.58</v>
      </c>
      <c r="E41" s="3">
        <f t="shared" si="3"/>
        <v>350.71999999999997</v>
      </c>
      <c r="F41" s="3">
        <v>65.58</v>
      </c>
      <c r="I41" s="7" t="s">
        <v>40</v>
      </c>
      <c r="J41" s="6" t="b">
        <v>1</v>
      </c>
    </row>
    <row r="42" spans="1:10" x14ac:dyDescent="0.25">
      <c r="A42" s="1">
        <v>46014</v>
      </c>
      <c r="B42" s="1" t="s">
        <v>8</v>
      </c>
      <c r="C42" s="3">
        <v>28.99</v>
      </c>
      <c r="D42" s="3">
        <f t="shared" si="2"/>
        <v>1.45</v>
      </c>
      <c r="E42" s="3">
        <f t="shared" si="3"/>
        <v>30.439999999999998</v>
      </c>
      <c r="H42" s="3">
        <v>1.45</v>
      </c>
      <c r="I42" s="7" t="s">
        <v>44</v>
      </c>
      <c r="J42" s="6" t="b">
        <v>1</v>
      </c>
    </row>
    <row r="43" spans="1:10" x14ac:dyDescent="0.25">
      <c r="A43" s="1">
        <v>46014</v>
      </c>
      <c r="B43" s="1" t="s">
        <v>17</v>
      </c>
      <c r="C43" s="3">
        <v>40.18</v>
      </c>
      <c r="D43" s="3">
        <f t="shared" si="2"/>
        <v>2.0099999999999998</v>
      </c>
      <c r="E43" s="3">
        <f t="shared" si="3"/>
        <v>42.19</v>
      </c>
      <c r="H43" s="3">
        <v>2.0099999999999998</v>
      </c>
      <c r="I43" s="7">
        <v>5562806596</v>
      </c>
      <c r="J43" s="6" t="b">
        <v>1</v>
      </c>
    </row>
    <row r="44" spans="1:10" x14ac:dyDescent="0.25">
      <c r="A44" s="1">
        <v>46018</v>
      </c>
      <c r="B44" s="1" t="s">
        <v>8</v>
      </c>
      <c r="C44" s="3">
        <v>36.299999999999997</v>
      </c>
      <c r="D44" s="3">
        <f t="shared" si="2"/>
        <v>1.81</v>
      </c>
      <c r="E44" s="3">
        <f t="shared" si="3"/>
        <v>38.11</v>
      </c>
      <c r="H44" s="3">
        <v>1.81</v>
      </c>
      <c r="I44" s="7" t="s">
        <v>15</v>
      </c>
      <c r="J44" s="6" t="b">
        <v>1</v>
      </c>
    </row>
    <row r="45" spans="1:10" x14ac:dyDescent="0.25">
      <c r="A45" s="1">
        <v>46018</v>
      </c>
      <c r="B45" s="1" t="s">
        <v>17</v>
      </c>
      <c r="C45" s="3">
        <v>28.51</v>
      </c>
      <c r="D45" s="3">
        <f t="shared" si="2"/>
        <v>1.43</v>
      </c>
      <c r="E45" s="3">
        <f t="shared" si="3"/>
        <v>29.94</v>
      </c>
      <c r="H45" s="3">
        <v>1.43</v>
      </c>
      <c r="I45" s="7" t="s">
        <v>45</v>
      </c>
      <c r="J45" s="6" t="b">
        <v>1</v>
      </c>
    </row>
    <row r="46" spans="1:10" x14ac:dyDescent="0.25">
      <c r="A46" s="1">
        <v>46019</v>
      </c>
      <c r="B46" s="1" t="s">
        <v>87</v>
      </c>
      <c r="C46" s="3">
        <v>573.73</v>
      </c>
      <c r="D46" s="3">
        <f t="shared" si="2"/>
        <v>131.96</v>
      </c>
      <c r="E46" s="3">
        <f t="shared" si="3"/>
        <v>705.69</v>
      </c>
      <c r="F46" s="3">
        <v>131.96</v>
      </c>
      <c r="I46" s="7" t="s">
        <v>91</v>
      </c>
      <c r="J46" s="6" t="b">
        <v>1</v>
      </c>
    </row>
    <row r="47" spans="1:10" x14ac:dyDescent="0.25">
      <c r="A47" s="1">
        <v>46020</v>
      </c>
      <c r="B47" s="1" t="s">
        <v>8</v>
      </c>
      <c r="C47" s="3">
        <v>164.01</v>
      </c>
      <c r="D47" s="3">
        <f t="shared" si="2"/>
        <v>30.17</v>
      </c>
      <c r="E47" s="3">
        <f t="shared" si="3"/>
        <v>194.17999999999998</v>
      </c>
      <c r="F47" s="3">
        <v>27.51</v>
      </c>
      <c r="G47" s="3">
        <v>1.19</v>
      </c>
      <c r="H47" s="3">
        <v>1.47</v>
      </c>
      <c r="I47" s="7" t="s">
        <v>54</v>
      </c>
      <c r="J47" s="6" t="b">
        <v>1</v>
      </c>
    </row>
    <row r="48" spans="1:10" x14ac:dyDescent="0.25">
      <c r="A48" s="1">
        <v>46021</v>
      </c>
      <c r="B48" s="1" t="s">
        <v>8</v>
      </c>
      <c r="C48" s="3">
        <v>140.80000000000001</v>
      </c>
      <c r="D48" s="3">
        <f t="shared" si="2"/>
        <v>19.36</v>
      </c>
      <c r="E48" s="3">
        <f t="shared" si="3"/>
        <v>160.16000000000003</v>
      </c>
      <c r="F48" s="3">
        <v>15.74</v>
      </c>
      <c r="H48" s="3">
        <v>3.62</v>
      </c>
      <c r="I48" s="7" t="s">
        <v>55</v>
      </c>
      <c r="J48" s="6" t="b">
        <v>1</v>
      </c>
    </row>
    <row r="49" spans="1:10" x14ac:dyDescent="0.25">
      <c r="A49" s="1">
        <v>46021</v>
      </c>
      <c r="B49" s="1" t="s">
        <v>56</v>
      </c>
      <c r="C49" s="3">
        <v>22.95</v>
      </c>
      <c r="D49" s="3">
        <f t="shared" si="2"/>
        <v>5.28</v>
      </c>
      <c r="E49" s="3">
        <f t="shared" si="3"/>
        <v>28.23</v>
      </c>
      <c r="F49" s="3">
        <v>5.28</v>
      </c>
      <c r="I49" s="7" t="s">
        <v>15</v>
      </c>
      <c r="J49" s="6" t="b">
        <v>1</v>
      </c>
    </row>
    <row r="50" spans="1:10" x14ac:dyDescent="0.25">
      <c r="A50" s="1">
        <v>46022</v>
      </c>
      <c r="B50" s="1" t="s">
        <v>8</v>
      </c>
      <c r="C50" s="3">
        <v>41.33</v>
      </c>
      <c r="D50" s="3">
        <f t="shared" si="2"/>
        <v>2.0699999999999998</v>
      </c>
      <c r="E50" s="3">
        <f t="shared" si="3"/>
        <v>43.4</v>
      </c>
      <c r="F50" s="3">
        <v>2.0699999999999998</v>
      </c>
      <c r="I50" s="7" t="s">
        <v>57</v>
      </c>
      <c r="J50" s="6" t="b">
        <v>1</v>
      </c>
    </row>
    <row r="51" spans="1:10" x14ac:dyDescent="0.25">
      <c r="A51" s="1">
        <v>46022</v>
      </c>
      <c r="B51" s="1" t="s">
        <v>8</v>
      </c>
      <c r="C51" s="3">
        <v>122.16</v>
      </c>
      <c r="D51" s="3">
        <f t="shared" si="2"/>
        <v>9.3099999999999987</v>
      </c>
      <c r="E51" s="3">
        <f t="shared" si="3"/>
        <v>131.47</v>
      </c>
      <c r="F51" s="3">
        <v>4.09</v>
      </c>
      <c r="H51" s="3">
        <v>5.22</v>
      </c>
      <c r="I51" s="7" t="s">
        <v>58</v>
      </c>
      <c r="J51" s="6" t="b">
        <v>1</v>
      </c>
    </row>
    <row r="52" spans="1:10" x14ac:dyDescent="0.25">
      <c r="A52" s="1">
        <v>46022</v>
      </c>
      <c r="B52" s="1" t="s">
        <v>8</v>
      </c>
      <c r="C52" s="3">
        <v>92.5</v>
      </c>
      <c r="D52" s="3">
        <f t="shared" si="2"/>
        <v>6.1899999999999995</v>
      </c>
      <c r="E52" s="3">
        <f t="shared" si="3"/>
        <v>98.69</v>
      </c>
      <c r="F52" s="3">
        <v>1.77</v>
      </c>
      <c r="G52" s="3">
        <v>0.48</v>
      </c>
      <c r="H52" s="3">
        <v>3.94</v>
      </c>
      <c r="I52" s="7" t="s">
        <v>59</v>
      </c>
      <c r="J52" s="6" t="b">
        <v>1</v>
      </c>
    </row>
    <row r="53" spans="1:10" s="17" customFormat="1" x14ac:dyDescent="0.25">
      <c r="A53" s="13">
        <v>46022</v>
      </c>
      <c r="B53" s="13" t="s">
        <v>96</v>
      </c>
      <c r="C53" s="14">
        <f>E53-D53</f>
        <v>112</v>
      </c>
      <c r="D53" s="14">
        <f t="shared" si="2"/>
        <v>8.9600000000000009</v>
      </c>
      <c r="E53" s="14">
        <v>120.96</v>
      </c>
      <c r="F53" s="14"/>
      <c r="G53" s="14">
        <v>8.9600000000000009</v>
      </c>
      <c r="H53" s="14"/>
      <c r="I53" s="15" t="s">
        <v>97</v>
      </c>
      <c r="J53" s="16" t="b">
        <v>1</v>
      </c>
    </row>
    <row r="54" spans="1:10" x14ac:dyDescent="0.25">
      <c r="A54" s="1">
        <v>46022</v>
      </c>
      <c r="B54" s="1" t="s">
        <v>60</v>
      </c>
      <c r="C54" s="3">
        <v>700</v>
      </c>
      <c r="D54" s="3">
        <f t="shared" si="2"/>
        <v>161</v>
      </c>
      <c r="E54" s="3">
        <f>C54+F54+G54+H54</f>
        <v>861</v>
      </c>
      <c r="F54" s="3">
        <v>161</v>
      </c>
      <c r="I54" s="7" t="s">
        <v>61</v>
      </c>
      <c r="J54" s="6" t="b">
        <v>1</v>
      </c>
    </row>
    <row r="55" spans="1:10" x14ac:dyDescent="0.25">
      <c r="A55" s="1">
        <v>46022</v>
      </c>
      <c r="B55" s="1" t="s">
        <v>17</v>
      </c>
      <c r="C55" s="3">
        <v>122.16</v>
      </c>
      <c r="D55" s="3">
        <f t="shared" si="2"/>
        <v>9.3099999999999987</v>
      </c>
      <c r="E55" s="3">
        <f>C55+F55+G55+H55</f>
        <v>131.47</v>
      </c>
      <c r="F55" s="3">
        <v>4.09</v>
      </c>
      <c r="H55" s="3">
        <v>5.22</v>
      </c>
      <c r="I55" s="7" t="s">
        <v>58</v>
      </c>
      <c r="J55" s="6" t="b">
        <v>1</v>
      </c>
    </row>
    <row r="56" spans="1:10" x14ac:dyDescent="0.25">
      <c r="A56" s="1">
        <v>46022</v>
      </c>
      <c r="B56" s="1" t="s">
        <v>87</v>
      </c>
      <c r="C56" s="3">
        <v>223.81</v>
      </c>
      <c r="D56" s="3">
        <f t="shared" si="2"/>
        <v>51.47</v>
      </c>
      <c r="E56" s="3">
        <f>C56+F56+G56+H56</f>
        <v>275.27999999999997</v>
      </c>
      <c r="F56" s="3">
        <v>51.47</v>
      </c>
      <c r="I56" s="7" t="s">
        <v>92</v>
      </c>
      <c r="J56" s="6" t="b">
        <v>1</v>
      </c>
    </row>
    <row r="57" spans="1:10" x14ac:dyDescent="0.25">
      <c r="A57" s="1">
        <v>46022</v>
      </c>
      <c r="B57" s="1" t="s">
        <v>88</v>
      </c>
      <c r="C57" s="3">
        <v>142.62</v>
      </c>
      <c r="D57" s="3">
        <f t="shared" si="2"/>
        <v>32.81</v>
      </c>
      <c r="E57" s="3">
        <f>C57+F57+G57+H57</f>
        <v>175.43</v>
      </c>
      <c r="F57" s="3">
        <v>32.81</v>
      </c>
      <c r="I57" s="7">
        <v>23010000202806</v>
      </c>
      <c r="J57" s="6" t="b">
        <v>1</v>
      </c>
    </row>
    <row r="58" spans="1:10" x14ac:dyDescent="0.25">
      <c r="A58" s="1">
        <v>46027</v>
      </c>
      <c r="B58" s="1" t="s">
        <v>93</v>
      </c>
      <c r="C58" s="3">
        <v>1068.57</v>
      </c>
      <c r="D58" s="3">
        <f t="shared" si="2"/>
        <v>245.79</v>
      </c>
      <c r="E58" s="3">
        <f>C58+F58+G58+H58</f>
        <v>1314.36</v>
      </c>
      <c r="F58" s="3">
        <v>245.79</v>
      </c>
      <c r="I58" s="7">
        <v>2701703338</v>
      </c>
      <c r="J58" s="6" t="b">
        <v>1</v>
      </c>
    </row>
  </sheetData>
  <dataValidations count="1">
    <dataValidation type="list" allowBlank="1" showInputMessage="1" showErrorMessage="1" sqref="B2:B63" xr:uid="{25203DC9-163B-49F0-A4D0-7F0AE1469967}">
      <formula1>Organization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86A4-AB20-4180-903C-C56F613AAF43}">
  <sheetPr>
    <pageSetUpPr autoPageBreaks="0"/>
  </sheetPr>
  <dimension ref="A1:U5"/>
  <sheetViews>
    <sheetView zoomScaleNormal="100" workbookViewId="0">
      <selection activeCell="C15" sqref="C15"/>
    </sheetView>
  </sheetViews>
  <sheetFormatPr defaultRowHeight="15" x14ac:dyDescent="0.25"/>
  <cols>
    <col min="1" max="1" width="9.7109375" style="1" bestFit="1" customWidth="1"/>
    <col min="2" max="2" width="17.5703125" customWidth="1"/>
    <col min="3" max="3" width="14.28515625" style="3" customWidth="1"/>
    <col min="4" max="4" width="12.42578125" style="3" bestFit="1" customWidth="1"/>
    <col min="5" max="5" width="20.5703125" style="3" customWidth="1"/>
    <col min="6" max="6" width="12.42578125" style="3" bestFit="1" customWidth="1"/>
    <col min="7" max="7" width="10.7109375" style="3" bestFit="1" customWidth="1"/>
    <col min="8" max="8" width="11.28515625" style="3" customWidth="1"/>
    <col min="9" max="9" width="16" style="3" customWidth="1"/>
    <col min="10" max="10" width="15.5703125" style="3" customWidth="1"/>
    <col min="11" max="11" width="12.42578125" bestFit="1" customWidth="1"/>
    <col min="12" max="12" width="28.5703125" customWidth="1"/>
    <col min="14" max="14" width="9.5703125" customWidth="1"/>
    <col min="17" max="17" width="14" bestFit="1" customWidth="1"/>
    <col min="18" max="18" width="9.7109375" bestFit="1" customWidth="1"/>
    <col min="19" max="19" width="7.7109375" bestFit="1" customWidth="1"/>
    <col min="20" max="20" width="31" bestFit="1" customWidth="1"/>
    <col min="21" max="21" width="10.7109375" bestFit="1" customWidth="1"/>
  </cols>
  <sheetData>
    <row r="1" spans="1:21" s="8" customFormat="1" x14ac:dyDescent="0.25">
      <c r="A1" s="31" t="s">
        <v>0</v>
      </c>
      <c r="B1" s="8" t="s">
        <v>65</v>
      </c>
      <c r="C1" s="10" t="s">
        <v>81</v>
      </c>
      <c r="D1" s="10" t="s">
        <v>82</v>
      </c>
      <c r="E1" s="10" t="s">
        <v>95</v>
      </c>
      <c r="F1" s="10" t="s">
        <v>72</v>
      </c>
      <c r="G1" s="10" t="s">
        <v>71</v>
      </c>
      <c r="H1" s="10" t="s">
        <v>94</v>
      </c>
      <c r="I1" s="10" t="s">
        <v>77</v>
      </c>
      <c r="J1" s="10" t="s">
        <v>66</v>
      </c>
      <c r="K1" s="8" t="s">
        <v>78</v>
      </c>
      <c r="L1" s="8" t="s">
        <v>80</v>
      </c>
      <c r="Q1" s="8" t="s">
        <v>79</v>
      </c>
      <c r="R1" s="8" t="s">
        <v>70</v>
      </c>
      <c r="S1" s="8" t="s">
        <v>75</v>
      </c>
    </row>
    <row r="2" spans="1:21" x14ac:dyDescent="0.25">
      <c r="A2" s="1">
        <v>46022</v>
      </c>
      <c r="B2" t="s">
        <v>111</v>
      </c>
      <c r="C2" s="3">
        <v>4666</v>
      </c>
      <c r="D2" s="3">
        <f>C2-I2</f>
        <v>3510.7702060000001</v>
      </c>
      <c r="E2" s="3">
        <f>C2*$R$5</f>
        <v>639.70860000000005</v>
      </c>
      <c r="F2" s="3">
        <f>(C2-E2)-$U$3</f>
        <v>3776.2914000000001</v>
      </c>
      <c r="G2" s="3">
        <f>(F2*$S$2)-$U$2</f>
        <v>153.154968</v>
      </c>
      <c r="H2" s="3">
        <f>(C2-E2)*$U$4</f>
        <v>362.36622599999998</v>
      </c>
      <c r="I2" s="3">
        <f>E2+G2+H2</f>
        <v>1155.2297939999999</v>
      </c>
      <c r="J2" s="3">
        <f>C2*20.48%</f>
        <v>955.59680000000003</v>
      </c>
      <c r="K2" s="3">
        <f>I2+J2</f>
        <v>2110.8265940000001</v>
      </c>
      <c r="L2" s="3">
        <f>D2+K2</f>
        <v>5621.5968000000003</v>
      </c>
      <c r="Q2" s="8" t="s">
        <v>67</v>
      </c>
      <c r="R2" s="11">
        <v>9.7600000000000006E-2</v>
      </c>
      <c r="S2" s="12">
        <v>0.12</v>
      </c>
      <c r="T2" s="8" t="s">
        <v>73</v>
      </c>
      <c r="U2" s="3">
        <v>300</v>
      </c>
    </row>
    <row r="3" spans="1:21" x14ac:dyDescent="0.25">
      <c r="A3" s="1">
        <v>46022</v>
      </c>
      <c r="B3" t="s">
        <v>112</v>
      </c>
      <c r="C3" s="3">
        <v>7000</v>
      </c>
      <c r="D3" s="3">
        <f t="shared" ref="D3" si="0">C3-I3</f>
        <v>5101.8369999999995</v>
      </c>
      <c r="E3" s="3">
        <f t="shared" ref="E3" si="1">C3*$R$5</f>
        <v>959.7</v>
      </c>
      <c r="F3" s="3">
        <f t="shared" ref="F3" si="2">(C3-E3)-$U$3</f>
        <v>5790.3</v>
      </c>
      <c r="G3" s="3">
        <f t="shared" ref="G3" si="3">(F3*$S$2)-$U$2</f>
        <v>394.83600000000001</v>
      </c>
      <c r="H3" s="3">
        <f t="shared" ref="H3" si="4">(C3-E3)*$U$4</f>
        <v>543.62699999999995</v>
      </c>
      <c r="I3" s="3">
        <f t="shared" ref="I3" si="5">E3+G3+H3</f>
        <v>1898.163</v>
      </c>
      <c r="J3" s="3">
        <f>C3*20.48%</f>
        <v>1433.6000000000001</v>
      </c>
      <c r="K3" s="3">
        <f t="shared" ref="K3" si="6">I3+J3</f>
        <v>3331.7629999999999</v>
      </c>
      <c r="L3" s="3">
        <f t="shared" ref="L3" si="7">D3+K3</f>
        <v>8433.5999999999985</v>
      </c>
      <c r="Q3" s="8" t="s">
        <v>68</v>
      </c>
      <c r="R3" s="11">
        <v>1.4999999999999999E-2</v>
      </c>
      <c r="T3" s="8" t="s">
        <v>74</v>
      </c>
      <c r="U3" s="3">
        <v>250</v>
      </c>
    </row>
    <row r="4" spans="1:21" x14ac:dyDescent="0.25">
      <c r="K4" s="3"/>
      <c r="L4" s="3"/>
      <c r="Q4" s="8" t="s">
        <v>69</v>
      </c>
      <c r="R4" s="11">
        <v>2.4500000000000001E-2</v>
      </c>
      <c r="T4" s="8" t="s">
        <v>76</v>
      </c>
      <c r="U4" s="12">
        <v>0.09</v>
      </c>
    </row>
    <row r="5" spans="1:21" x14ac:dyDescent="0.25">
      <c r="Q5" s="8" t="s">
        <v>28</v>
      </c>
      <c r="R5" s="11">
        <f>SUM(R2:R4)</f>
        <v>0.1371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FBA6-1601-4B06-91C6-FE67975432FC}">
  <sheetPr>
    <pageSetUpPr autoPageBreaks="0"/>
  </sheetPr>
  <dimension ref="A1:A22"/>
  <sheetViews>
    <sheetView workbookViewId="0">
      <selection activeCell="H6" sqref="H6"/>
    </sheetView>
  </sheetViews>
  <sheetFormatPr defaultRowHeight="15" x14ac:dyDescent="0.25"/>
  <cols>
    <col min="1" max="1" width="28" bestFit="1" customWidth="1"/>
  </cols>
  <sheetData>
    <row r="1" spans="1:1" s="8" customFormat="1" x14ac:dyDescent="0.25">
      <c r="A1" s="8" t="s">
        <v>1</v>
      </c>
    </row>
    <row r="2" spans="1:1" x14ac:dyDescent="0.25">
      <c r="A2" t="s">
        <v>60</v>
      </c>
    </row>
    <row r="3" spans="1:1" x14ac:dyDescent="0.25">
      <c r="A3" t="s">
        <v>56</v>
      </c>
    </row>
    <row r="4" spans="1:1" x14ac:dyDescent="0.25">
      <c r="A4" t="s">
        <v>98</v>
      </c>
    </row>
    <row r="5" spans="1:1" x14ac:dyDescent="0.25">
      <c r="A5" t="s">
        <v>8</v>
      </c>
    </row>
    <row r="6" spans="1:1" x14ac:dyDescent="0.25">
      <c r="A6" t="s">
        <v>20</v>
      </c>
    </row>
    <row r="7" spans="1:1" x14ac:dyDescent="0.25">
      <c r="A7" t="s">
        <v>31</v>
      </c>
    </row>
    <row r="8" spans="1:1" x14ac:dyDescent="0.25">
      <c r="A8" t="s">
        <v>39</v>
      </c>
    </row>
    <row r="9" spans="1:1" x14ac:dyDescent="0.25">
      <c r="A9" t="s">
        <v>83</v>
      </c>
    </row>
    <row r="10" spans="1:1" x14ac:dyDescent="0.25">
      <c r="A10" t="s">
        <v>25</v>
      </c>
    </row>
    <row r="11" spans="1:1" x14ac:dyDescent="0.25">
      <c r="A11" t="s">
        <v>88</v>
      </c>
    </row>
    <row r="12" spans="1:1" x14ac:dyDescent="0.25">
      <c r="A12" t="s">
        <v>37</v>
      </c>
    </row>
    <row r="13" spans="1:1" x14ac:dyDescent="0.25">
      <c r="A13" t="s">
        <v>17</v>
      </c>
    </row>
    <row r="14" spans="1:1" x14ac:dyDescent="0.25">
      <c r="A14" t="s">
        <v>93</v>
      </c>
    </row>
    <row r="15" spans="1:1" x14ac:dyDescent="0.25">
      <c r="A15" t="s">
        <v>84</v>
      </c>
    </row>
    <row r="16" spans="1:1" x14ac:dyDescent="0.25">
      <c r="A16" t="s">
        <v>96</v>
      </c>
    </row>
    <row r="17" spans="1:1" x14ac:dyDescent="0.25">
      <c r="A17" t="s">
        <v>87</v>
      </c>
    </row>
    <row r="18" spans="1:1" x14ac:dyDescent="0.25">
      <c r="A18" t="s">
        <v>46</v>
      </c>
    </row>
    <row r="19" spans="1:1" x14ac:dyDescent="0.25">
      <c r="A19" t="s">
        <v>63</v>
      </c>
    </row>
    <row r="20" spans="1:1" x14ac:dyDescent="0.25">
      <c r="A20" t="s">
        <v>52</v>
      </c>
    </row>
    <row r="21" spans="1:1" x14ac:dyDescent="0.25">
      <c r="A21" t="s">
        <v>50</v>
      </c>
    </row>
    <row r="22" spans="1:1" x14ac:dyDescent="0.25">
      <c r="A22" t="s">
        <v>85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FBFF-C7DB-41DC-AA7B-53C05FCC649F}">
  <dimension ref="A1:Q32"/>
  <sheetViews>
    <sheetView workbookViewId="0">
      <selection activeCell="B8" sqref="B8"/>
    </sheetView>
  </sheetViews>
  <sheetFormatPr defaultColWidth="9.5703125" defaultRowHeight="15" x14ac:dyDescent="0.25"/>
  <cols>
    <col min="1" max="1" width="9.7109375" bestFit="1" customWidth="1"/>
    <col min="2" max="2" width="12" bestFit="1" customWidth="1"/>
    <col min="3" max="3" width="11.28515625" customWidth="1"/>
    <col min="4" max="4" width="12.7109375" customWidth="1"/>
    <col min="5" max="6" width="10.42578125" bestFit="1" customWidth="1"/>
    <col min="7" max="7" width="9.42578125" customWidth="1"/>
    <col min="8" max="8" width="10.42578125" bestFit="1" customWidth="1"/>
    <col min="9" max="9" width="16.42578125" customWidth="1"/>
    <col min="10" max="10" width="12" bestFit="1" customWidth="1"/>
    <col min="11" max="11" width="17" customWidth="1"/>
    <col min="12" max="12" width="10.42578125" bestFit="1" customWidth="1"/>
    <col min="13" max="13" width="15.7109375" customWidth="1"/>
    <col min="14" max="14" width="15.5703125" customWidth="1"/>
    <col min="15" max="15" width="15" customWidth="1"/>
    <col min="16" max="16" width="15.28515625" customWidth="1"/>
    <col min="17" max="17" width="14.7109375" customWidth="1"/>
  </cols>
  <sheetData>
    <row r="1" spans="1:17" x14ac:dyDescent="0.25">
      <c r="A1" s="4" t="s">
        <v>0</v>
      </c>
      <c r="B1" s="18" t="s">
        <v>100</v>
      </c>
      <c r="C1" s="19" t="s">
        <v>101</v>
      </c>
      <c r="D1" s="19" t="s">
        <v>102</v>
      </c>
      <c r="E1" s="18" t="s">
        <v>2</v>
      </c>
      <c r="F1" s="18" t="s">
        <v>3</v>
      </c>
      <c r="G1" s="18" t="s">
        <v>4</v>
      </c>
      <c r="H1" s="18" t="s">
        <v>103</v>
      </c>
      <c r="I1" s="19" t="s">
        <v>106</v>
      </c>
      <c r="J1" s="18" t="s">
        <v>87</v>
      </c>
      <c r="K1" s="19" t="s">
        <v>107</v>
      </c>
      <c r="L1" s="18" t="s">
        <v>88</v>
      </c>
      <c r="M1" s="19" t="s">
        <v>108</v>
      </c>
      <c r="N1" s="18" t="s">
        <v>104</v>
      </c>
      <c r="O1" s="19" t="s">
        <v>109</v>
      </c>
      <c r="P1" s="18" t="s">
        <v>105</v>
      </c>
      <c r="Q1" s="19" t="s">
        <v>110</v>
      </c>
    </row>
    <row r="2" spans="1:17" x14ac:dyDescent="0.25">
      <c r="A2" s="1">
        <v>45992</v>
      </c>
      <c r="B2" s="3">
        <f t="shared" ref="B2:B32" si="0">D2-C2</f>
        <v>1253.8</v>
      </c>
      <c r="C2" s="3">
        <f t="shared" ref="C2:C32" si="1">E2+F2+G2</f>
        <v>119.2</v>
      </c>
      <c r="D2" s="3">
        <v>1373</v>
      </c>
      <c r="E2" s="3">
        <v>28.98</v>
      </c>
      <c r="F2" s="3">
        <v>90.22</v>
      </c>
      <c r="G2" s="3"/>
      <c r="H2" s="3">
        <f>122+39</f>
        <v>161</v>
      </c>
      <c r="I2" s="11">
        <f t="shared" ref="I2:I32" si="2">H2/(D2/100)/100</f>
        <v>0.11726147123088128</v>
      </c>
      <c r="J2" s="3">
        <v>323</v>
      </c>
      <c r="K2" s="11">
        <f t="shared" ref="K2:K32" si="3">J2/(D2/100)/100</f>
        <v>0.23525127458120904</v>
      </c>
      <c r="L2" s="3">
        <v>0</v>
      </c>
      <c r="M2" s="11">
        <f t="shared" ref="M2:M32" si="4">L2/(D2/100)/100</f>
        <v>0</v>
      </c>
      <c r="N2" s="3">
        <f t="shared" ref="N2:N32" si="5">D2-P2</f>
        <v>989</v>
      </c>
      <c r="O2" s="11">
        <f t="shared" ref="O2:O32" si="6">N2/(D2/100)/100</f>
        <v>0.7203204661325564</v>
      </c>
      <c r="P2" s="3">
        <f>345+39</f>
        <v>384</v>
      </c>
      <c r="Q2" s="11">
        <f t="shared" ref="Q2:Q32" si="7">P2/(D2/100)/100</f>
        <v>0.27967953386744354</v>
      </c>
    </row>
    <row r="3" spans="1:17" x14ac:dyDescent="0.25">
      <c r="A3" s="1">
        <v>45993</v>
      </c>
      <c r="B3" s="3">
        <f t="shared" si="0"/>
        <v>1119.31</v>
      </c>
      <c r="C3" s="3">
        <f t="shared" si="1"/>
        <v>103.69</v>
      </c>
      <c r="D3" s="3">
        <v>1223</v>
      </c>
      <c r="E3" s="3">
        <v>21.69</v>
      </c>
      <c r="F3" s="3">
        <v>82</v>
      </c>
      <c r="G3" s="3"/>
      <c r="H3" s="3">
        <v>35</v>
      </c>
      <c r="I3" s="11">
        <f t="shared" si="2"/>
        <v>2.8618152085036791E-2</v>
      </c>
      <c r="J3" s="3">
        <v>233</v>
      </c>
      <c r="K3" s="11">
        <f t="shared" si="3"/>
        <v>0.19051512673753065</v>
      </c>
      <c r="L3" s="3">
        <v>0</v>
      </c>
      <c r="M3" s="11">
        <f t="shared" si="4"/>
        <v>0</v>
      </c>
      <c r="N3" s="3">
        <f t="shared" si="5"/>
        <v>157</v>
      </c>
      <c r="O3" s="11">
        <f t="shared" si="6"/>
        <v>0.12837285363859363</v>
      </c>
      <c r="P3" s="3">
        <v>1066</v>
      </c>
      <c r="Q3" s="11">
        <f t="shared" si="7"/>
        <v>0.87162714636140637</v>
      </c>
    </row>
    <row r="4" spans="1:17" x14ac:dyDescent="0.25">
      <c r="A4" s="1">
        <v>45994</v>
      </c>
      <c r="B4" s="3">
        <f t="shared" si="0"/>
        <v>1672.38</v>
      </c>
      <c r="C4" s="3">
        <f t="shared" si="1"/>
        <v>160.62</v>
      </c>
      <c r="D4" s="3">
        <v>1833</v>
      </c>
      <c r="E4" s="3">
        <v>41.14</v>
      </c>
      <c r="F4" s="3">
        <v>119.48</v>
      </c>
      <c r="G4" s="3"/>
      <c r="H4" s="3">
        <f>240+31</f>
        <v>271</v>
      </c>
      <c r="I4" s="11">
        <f t="shared" si="2"/>
        <v>0.14784506273867978</v>
      </c>
      <c r="J4" s="3">
        <v>396</v>
      </c>
      <c r="K4" s="11">
        <f t="shared" si="3"/>
        <v>0.21603927986906712</v>
      </c>
      <c r="L4" s="3">
        <v>0</v>
      </c>
      <c r="M4" s="11">
        <f t="shared" si="4"/>
        <v>0</v>
      </c>
      <c r="N4" s="3">
        <f t="shared" si="5"/>
        <v>712</v>
      </c>
      <c r="O4" s="11">
        <f t="shared" si="6"/>
        <v>0.38843426077468635</v>
      </c>
      <c r="P4" s="3">
        <f>786+31+304</f>
        <v>1121</v>
      </c>
      <c r="Q4" s="11">
        <f t="shared" si="7"/>
        <v>0.61156573922531376</v>
      </c>
    </row>
    <row r="5" spans="1:17" x14ac:dyDescent="0.25">
      <c r="A5" s="1">
        <v>45995</v>
      </c>
      <c r="B5" s="3">
        <f t="shared" si="0"/>
        <v>1493.47</v>
      </c>
      <c r="C5" s="3">
        <f t="shared" si="1"/>
        <v>142.53</v>
      </c>
      <c r="D5" s="3">
        <v>1636</v>
      </c>
      <c r="E5" s="3">
        <v>35.340000000000003</v>
      </c>
      <c r="F5" s="3">
        <v>107.19</v>
      </c>
      <c r="G5" s="3"/>
      <c r="H5" s="3">
        <f>268+60</f>
        <v>328</v>
      </c>
      <c r="I5" s="11">
        <f t="shared" si="2"/>
        <v>0.20048899755501226</v>
      </c>
      <c r="J5" s="3">
        <v>130</v>
      </c>
      <c r="K5" s="11">
        <f t="shared" si="3"/>
        <v>7.9462102689486558E-2</v>
      </c>
      <c r="L5" s="3">
        <v>0</v>
      </c>
      <c r="M5" s="11">
        <f t="shared" si="4"/>
        <v>0</v>
      </c>
      <c r="N5" s="3">
        <f t="shared" si="5"/>
        <v>528</v>
      </c>
      <c r="O5" s="11">
        <f t="shared" si="6"/>
        <v>0.3227383863080685</v>
      </c>
      <c r="P5" s="3">
        <f>1048+60</f>
        <v>1108</v>
      </c>
      <c r="Q5" s="11">
        <f t="shared" si="7"/>
        <v>0.6772616136919315</v>
      </c>
    </row>
    <row r="6" spans="1:17" x14ac:dyDescent="0.25">
      <c r="A6" s="1">
        <v>45996</v>
      </c>
      <c r="B6" s="3">
        <f t="shared" si="0"/>
        <v>1560.8</v>
      </c>
      <c r="C6" s="3">
        <f t="shared" si="1"/>
        <v>146.19999999999999</v>
      </c>
      <c r="D6" s="3">
        <v>1707</v>
      </c>
      <c r="E6" s="3">
        <v>32.72</v>
      </c>
      <c r="F6" s="3">
        <v>113.48</v>
      </c>
      <c r="G6" s="3"/>
      <c r="H6" s="3">
        <v>151</v>
      </c>
      <c r="I6" s="11">
        <f t="shared" si="2"/>
        <v>8.8459285295840656E-2</v>
      </c>
      <c r="J6" s="3">
        <v>449</v>
      </c>
      <c r="K6" s="11">
        <f t="shared" si="3"/>
        <v>0.26303456356180432</v>
      </c>
      <c r="L6" s="3">
        <v>0</v>
      </c>
      <c r="M6" s="11">
        <f t="shared" si="4"/>
        <v>0</v>
      </c>
      <c r="N6" s="3">
        <f t="shared" si="5"/>
        <v>694</v>
      </c>
      <c r="O6" s="11">
        <f t="shared" si="6"/>
        <v>0.40656121851200938</v>
      </c>
      <c r="P6" s="3">
        <v>1013</v>
      </c>
      <c r="Q6" s="11">
        <f t="shared" si="7"/>
        <v>0.59343878148799067</v>
      </c>
    </row>
    <row r="7" spans="1:17" x14ac:dyDescent="0.25">
      <c r="A7" s="1">
        <v>45997</v>
      </c>
      <c r="B7" s="3">
        <f t="shared" si="0"/>
        <v>1676.58</v>
      </c>
      <c r="C7" s="3">
        <f t="shared" si="1"/>
        <v>157.42000000000002</v>
      </c>
      <c r="D7" s="3">
        <v>1834</v>
      </c>
      <c r="E7" s="3">
        <v>35.72</v>
      </c>
      <c r="F7" s="3">
        <v>121.7</v>
      </c>
      <c r="G7" s="3"/>
      <c r="H7" s="3">
        <f>428+121</f>
        <v>549</v>
      </c>
      <c r="I7" s="11">
        <f t="shared" si="2"/>
        <v>0.29934569247546344</v>
      </c>
      <c r="J7" s="3">
        <v>308</v>
      </c>
      <c r="K7" s="11">
        <f t="shared" si="3"/>
        <v>0.16793893129770993</v>
      </c>
      <c r="L7" s="3">
        <v>56</v>
      </c>
      <c r="M7" s="11">
        <f t="shared" si="4"/>
        <v>3.053435114503817E-2</v>
      </c>
      <c r="N7" s="3">
        <f t="shared" si="5"/>
        <v>414</v>
      </c>
      <c r="O7" s="11">
        <f t="shared" si="6"/>
        <v>0.22573609596510358</v>
      </c>
      <c r="P7" s="3">
        <f>1092+121+207</f>
        <v>1420</v>
      </c>
      <c r="Q7" s="11">
        <f t="shared" si="7"/>
        <v>0.77426390403489631</v>
      </c>
    </row>
    <row r="8" spans="1:17" x14ac:dyDescent="0.25">
      <c r="A8" s="1">
        <v>45998</v>
      </c>
      <c r="B8" s="3">
        <f t="shared" si="0"/>
        <v>1794.85</v>
      </c>
      <c r="C8" s="3">
        <f t="shared" si="1"/>
        <v>176.15</v>
      </c>
      <c r="D8" s="3">
        <v>1971</v>
      </c>
      <c r="E8" s="3">
        <v>49.93</v>
      </c>
      <c r="F8" s="3">
        <v>126.22</v>
      </c>
      <c r="G8" s="3"/>
      <c r="H8" s="3">
        <f>215+86</f>
        <v>301</v>
      </c>
      <c r="I8" s="11">
        <f t="shared" si="2"/>
        <v>0.15271435819381024</v>
      </c>
      <c r="J8" s="3">
        <v>461</v>
      </c>
      <c r="K8" s="11">
        <f t="shared" si="3"/>
        <v>0.2338914256722476</v>
      </c>
      <c r="L8" s="3">
        <v>0</v>
      </c>
      <c r="M8" s="11">
        <f t="shared" si="4"/>
        <v>0</v>
      </c>
      <c r="N8" s="3">
        <f t="shared" si="5"/>
        <v>927</v>
      </c>
      <c r="O8" s="11">
        <f t="shared" si="6"/>
        <v>0.47031963470319632</v>
      </c>
      <c r="P8" s="3">
        <f>628+86+330</f>
        <v>1044</v>
      </c>
      <c r="Q8" s="11">
        <f t="shared" si="7"/>
        <v>0.52968036529680362</v>
      </c>
    </row>
    <row r="9" spans="1:17" x14ac:dyDescent="0.25">
      <c r="A9" s="1">
        <v>45999</v>
      </c>
      <c r="B9" s="3">
        <f t="shared" si="0"/>
        <v>1177.8900000000001</v>
      </c>
      <c r="C9" s="3">
        <f t="shared" si="1"/>
        <v>114.11</v>
      </c>
      <c r="D9" s="3">
        <v>1292</v>
      </c>
      <c r="E9" s="3">
        <v>30.48</v>
      </c>
      <c r="F9" s="3">
        <v>83.63</v>
      </c>
      <c r="G9" s="3"/>
      <c r="H9" s="3">
        <f>235+82</f>
        <v>317</v>
      </c>
      <c r="I9" s="11">
        <f t="shared" si="2"/>
        <v>0.24535603715170279</v>
      </c>
      <c r="J9" s="3">
        <v>262</v>
      </c>
      <c r="K9" s="11">
        <f t="shared" si="3"/>
        <v>0.20278637770897834</v>
      </c>
      <c r="L9" s="3">
        <v>0</v>
      </c>
      <c r="M9" s="11">
        <f t="shared" si="4"/>
        <v>0</v>
      </c>
      <c r="N9" s="3">
        <f t="shared" si="5"/>
        <v>846</v>
      </c>
      <c r="O9" s="11">
        <f t="shared" si="6"/>
        <v>0.65479876160990713</v>
      </c>
      <c r="P9" s="3">
        <f>364+82</f>
        <v>446</v>
      </c>
      <c r="Q9" s="11">
        <f t="shared" si="7"/>
        <v>0.34520123839009287</v>
      </c>
    </row>
    <row r="10" spans="1:17" x14ac:dyDescent="0.25">
      <c r="A10" s="1">
        <v>46000</v>
      </c>
      <c r="B10" s="3">
        <f t="shared" si="0"/>
        <v>1830.51</v>
      </c>
      <c r="C10" s="3">
        <f t="shared" si="1"/>
        <v>169.49</v>
      </c>
      <c r="D10" s="3">
        <v>2000</v>
      </c>
      <c r="E10" s="3">
        <v>35.340000000000003</v>
      </c>
      <c r="F10" s="3">
        <v>134.15</v>
      </c>
      <c r="G10" s="3"/>
      <c r="H10" s="3">
        <f>305+72</f>
        <v>377</v>
      </c>
      <c r="I10" s="11">
        <f t="shared" si="2"/>
        <v>0.1885</v>
      </c>
      <c r="J10" s="3">
        <v>119</v>
      </c>
      <c r="K10" s="11">
        <f t="shared" si="3"/>
        <v>5.9500000000000004E-2</v>
      </c>
      <c r="L10" s="3">
        <v>39</v>
      </c>
      <c r="M10" s="11">
        <f t="shared" si="4"/>
        <v>1.95E-2</v>
      </c>
      <c r="N10" s="3">
        <f t="shared" si="5"/>
        <v>445</v>
      </c>
      <c r="O10" s="11">
        <f t="shared" si="6"/>
        <v>0.2225</v>
      </c>
      <c r="P10" s="3">
        <f>1453+72+30</f>
        <v>1555</v>
      </c>
      <c r="Q10" s="11">
        <f t="shared" si="7"/>
        <v>0.77749999999999997</v>
      </c>
    </row>
    <row r="11" spans="1:17" x14ac:dyDescent="0.25">
      <c r="A11" s="1">
        <v>46001</v>
      </c>
      <c r="B11" s="3">
        <f t="shared" si="0"/>
        <v>1446.82</v>
      </c>
      <c r="C11" s="3">
        <f t="shared" si="1"/>
        <v>128.18</v>
      </c>
      <c r="D11" s="3">
        <v>1575</v>
      </c>
      <c r="E11" s="3">
        <v>19.07</v>
      </c>
      <c r="F11" s="3">
        <v>109.11</v>
      </c>
      <c r="G11" s="3"/>
      <c r="H11" s="3">
        <f>192+26</f>
        <v>218</v>
      </c>
      <c r="I11" s="11">
        <f t="shared" si="2"/>
        <v>0.13841269841269843</v>
      </c>
      <c r="J11" s="3">
        <v>162</v>
      </c>
      <c r="K11" s="11">
        <f t="shared" si="3"/>
        <v>0.10285714285714287</v>
      </c>
      <c r="L11" s="3">
        <v>0</v>
      </c>
      <c r="M11" s="11">
        <f t="shared" si="4"/>
        <v>0</v>
      </c>
      <c r="N11" s="3">
        <f t="shared" si="5"/>
        <v>534</v>
      </c>
      <c r="O11" s="11">
        <f t="shared" si="6"/>
        <v>0.33904761904761904</v>
      </c>
      <c r="P11" s="3">
        <f>916+26+99</f>
        <v>1041</v>
      </c>
      <c r="Q11" s="11">
        <f t="shared" si="7"/>
        <v>0.66095238095238107</v>
      </c>
    </row>
    <row r="12" spans="1:17" x14ac:dyDescent="0.25">
      <c r="A12" s="1">
        <v>46002</v>
      </c>
      <c r="B12" s="3">
        <f t="shared" si="0"/>
        <v>1544.42</v>
      </c>
      <c r="C12" s="3">
        <f t="shared" si="1"/>
        <v>142.57999999999998</v>
      </c>
      <c r="D12" s="3">
        <v>1687</v>
      </c>
      <c r="E12" s="3">
        <v>29.17</v>
      </c>
      <c r="F12" s="3">
        <v>113.41</v>
      </c>
      <c r="G12" s="3"/>
      <c r="H12" s="3">
        <f>356+106</f>
        <v>462</v>
      </c>
      <c r="I12" s="11">
        <f t="shared" si="2"/>
        <v>0.2738589211618257</v>
      </c>
      <c r="J12" s="3">
        <v>122</v>
      </c>
      <c r="K12" s="11">
        <f t="shared" si="3"/>
        <v>7.2317723770005921E-2</v>
      </c>
      <c r="L12" s="3">
        <v>0</v>
      </c>
      <c r="M12" s="11">
        <f t="shared" si="4"/>
        <v>0</v>
      </c>
      <c r="N12" s="3">
        <f t="shared" si="5"/>
        <v>670</v>
      </c>
      <c r="O12" s="11">
        <f t="shared" si="6"/>
        <v>0.39715471250740964</v>
      </c>
      <c r="P12" s="3">
        <f>807+106+104</f>
        <v>1017</v>
      </c>
      <c r="Q12" s="11">
        <f t="shared" si="7"/>
        <v>0.60284528749259036</v>
      </c>
    </row>
    <row r="13" spans="1:17" x14ac:dyDescent="0.25">
      <c r="A13" s="1">
        <v>46003</v>
      </c>
      <c r="B13" s="3">
        <f t="shared" si="0"/>
        <v>2311.4299999999998</v>
      </c>
      <c r="C13" s="3">
        <f t="shared" si="1"/>
        <v>213.57</v>
      </c>
      <c r="D13" s="3">
        <v>2525</v>
      </c>
      <c r="E13" s="3">
        <v>43.94</v>
      </c>
      <c r="F13" s="3">
        <v>169.63</v>
      </c>
      <c r="G13" s="3"/>
      <c r="H13" s="3">
        <f>259+103</f>
        <v>362</v>
      </c>
      <c r="I13" s="11">
        <f t="shared" si="2"/>
        <v>0.14336633663366338</v>
      </c>
      <c r="J13" s="3">
        <v>375</v>
      </c>
      <c r="K13" s="11">
        <f t="shared" si="3"/>
        <v>0.14851485148514854</v>
      </c>
      <c r="L13" s="3">
        <v>22</v>
      </c>
      <c r="M13" s="11">
        <f t="shared" si="4"/>
        <v>8.7128712871287137E-3</v>
      </c>
      <c r="N13" s="3">
        <f t="shared" si="5"/>
        <v>495</v>
      </c>
      <c r="O13" s="11">
        <f t="shared" si="6"/>
        <v>0.19603960396039605</v>
      </c>
      <c r="P13" s="3">
        <f>1752+103+175</f>
        <v>2030</v>
      </c>
      <c r="Q13" s="11">
        <f t="shared" si="7"/>
        <v>0.8039603960396039</v>
      </c>
    </row>
    <row r="14" spans="1:17" x14ac:dyDescent="0.25">
      <c r="A14" s="1">
        <v>46004</v>
      </c>
      <c r="B14" s="3">
        <f t="shared" si="0"/>
        <v>2455.94</v>
      </c>
      <c r="C14" s="3">
        <f t="shared" si="1"/>
        <v>223.06</v>
      </c>
      <c r="D14" s="3">
        <v>2679</v>
      </c>
      <c r="E14" s="3">
        <v>40.76</v>
      </c>
      <c r="F14" s="3">
        <v>182.3</v>
      </c>
      <c r="G14" s="3"/>
      <c r="H14" s="3">
        <f>505+89</f>
        <v>594</v>
      </c>
      <c r="I14" s="11">
        <f t="shared" si="2"/>
        <v>0.22172452407614782</v>
      </c>
      <c r="J14" s="3">
        <v>140</v>
      </c>
      <c r="K14" s="11">
        <f t="shared" si="3"/>
        <v>5.2258305337812623E-2</v>
      </c>
      <c r="L14" s="3">
        <v>306</v>
      </c>
      <c r="M14" s="11">
        <f t="shared" si="4"/>
        <v>0.11422172452407615</v>
      </c>
      <c r="N14" s="3">
        <f t="shared" si="5"/>
        <v>452</v>
      </c>
      <c r="O14" s="11">
        <f t="shared" si="6"/>
        <v>0.1687196715192236</v>
      </c>
      <c r="P14" s="3">
        <f>1810+89+328</f>
        <v>2227</v>
      </c>
      <c r="Q14" s="11">
        <f t="shared" si="7"/>
        <v>0.83128032848077638</v>
      </c>
    </row>
    <row r="15" spans="1:17" x14ac:dyDescent="0.25">
      <c r="A15" s="1">
        <v>46005</v>
      </c>
      <c r="B15" s="3">
        <f t="shared" si="0"/>
        <v>1899.05</v>
      </c>
      <c r="C15" s="3">
        <f t="shared" si="1"/>
        <v>185.95</v>
      </c>
      <c r="D15" s="3">
        <v>2085</v>
      </c>
      <c r="E15" s="3">
        <v>52.17</v>
      </c>
      <c r="F15" s="3">
        <v>133.78</v>
      </c>
      <c r="G15" s="3"/>
      <c r="H15" s="3">
        <f>402+145</f>
        <v>547</v>
      </c>
      <c r="I15" s="11">
        <f t="shared" si="2"/>
        <v>0.2623501199040767</v>
      </c>
      <c r="J15" s="3">
        <v>523</v>
      </c>
      <c r="K15" s="11">
        <f t="shared" si="3"/>
        <v>0.25083932853717023</v>
      </c>
      <c r="L15" s="3">
        <v>123</v>
      </c>
      <c r="M15" s="11">
        <f t="shared" si="4"/>
        <v>5.8992805755395679E-2</v>
      </c>
      <c r="N15" s="3">
        <f t="shared" si="5"/>
        <v>892</v>
      </c>
      <c r="O15" s="11">
        <f t="shared" si="6"/>
        <v>0.4278177458033573</v>
      </c>
      <c r="P15" s="3">
        <f>722+145+326</f>
        <v>1193</v>
      </c>
      <c r="Q15" s="11">
        <f t="shared" si="7"/>
        <v>0.57218225419664259</v>
      </c>
    </row>
    <row r="16" spans="1:17" x14ac:dyDescent="0.25">
      <c r="A16" s="1">
        <v>46006</v>
      </c>
      <c r="B16" s="3">
        <f t="shared" si="0"/>
        <v>1822.18</v>
      </c>
      <c r="C16" s="3">
        <f t="shared" si="1"/>
        <v>168.82</v>
      </c>
      <c r="D16" s="3">
        <v>1991</v>
      </c>
      <c r="E16" s="3">
        <v>35.340000000000003</v>
      </c>
      <c r="F16" s="3">
        <v>133.47999999999999</v>
      </c>
      <c r="G16" s="3"/>
      <c r="H16" s="3">
        <f>581+71</f>
        <v>652</v>
      </c>
      <c r="I16" s="11">
        <f t="shared" si="2"/>
        <v>0.32747363134103469</v>
      </c>
      <c r="J16" s="3">
        <v>228</v>
      </c>
      <c r="K16" s="11">
        <f t="shared" si="3"/>
        <v>0.11451531893520844</v>
      </c>
      <c r="L16" s="3">
        <v>47</v>
      </c>
      <c r="M16" s="11">
        <f t="shared" si="4"/>
        <v>2.3606228026117528E-2</v>
      </c>
      <c r="N16" s="3">
        <f t="shared" si="5"/>
        <v>916</v>
      </c>
      <c r="O16" s="11">
        <f t="shared" si="6"/>
        <v>0.46007031642390755</v>
      </c>
      <c r="P16" s="3">
        <f>973+71+31</f>
        <v>1075</v>
      </c>
      <c r="Q16" s="11">
        <f t="shared" si="7"/>
        <v>0.53992968357609239</v>
      </c>
    </row>
    <row r="17" spans="1:17" x14ac:dyDescent="0.25">
      <c r="A17" s="1">
        <v>46007</v>
      </c>
      <c r="B17" s="3">
        <f t="shared" si="0"/>
        <v>1864.5</v>
      </c>
      <c r="C17" s="3">
        <f t="shared" si="1"/>
        <v>175.5</v>
      </c>
      <c r="D17" s="3">
        <v>2040</v>
      </c>
      <c r="E17" s="3">
        <v>40.39</v>
      </c>
      <c r="F17" s="3">
        <v>135.11000000000001</v>
      </c>
      <c r="G17" s="3"/>
      <c r="H17" s="3">
        <f>580+154</f>
        <v>734</v>
      </c>
      <c r="I17" s="11">
        <f t="shared" si="2"/>
        <v>0.3598039215686275</v>
      </c>
      <c r="J17" s="3">
        <v>134</v>
      </c>
      <c r="K17" s="11">
        <f t="shared" si="3"/>
        <v>6.5686274509803924E-2</v>
      </c>
      <c r="L17" s="3">
        <v>0</v>
      </c>
      <c r="M17" s="11">
        <f t="shared" si="4"/>
        <v>0</v>
      </c>
      <c r="N17" s="3">
        <f t="shared" si="5"/>
        <v>955</v>
      </c>
      <c r="O17" s="11">
        <f t="shared" si="6"/>
        <v>0.46813725490196084</v>
      </c>
      <c r="P17" s="3">
        <f>744+154+187</f>
        <v>1085</v>
      </c>
      <c r="Q17" s="11">
        <f t="shared" si="7"/>
        <v>0.53186274509803921</v>
      </c>
    </row>
    <row r="18" spans="1:17" x14ac:dyDescent="0.25">
      <c r="A18" s="1">
        <v>46008</v>
      </c>
      <c r="B18" s="3">
        <f t="shared" si="0"/>
        <v>1147.95</v>
      </c>
      <c r="C18" s="3">
        <f t="shared" si="1"/>
        <v>103.05</v>
      </c>
      <c r="D18" s="3">
        <v>1251</v>
      </c>
      <c r="E18" s="3">
        <v>17.2</v>
      </c>
      <c r="F18" s="3">
        <v>85.85</v>
      </c>
      <c r="G18" s="3"/>
      <c r="H18" s="3">
        <f>140+75</f>
        <v>215</v>
      </c>
      <c r="I18" s="11">
        <f t="shared" si="2"/>
        <v>0.17186250999200639</v>
      </c>
      <c r="J18" s="3">
        <v>219</v>
      </c>
      <c r="K18" s="11">
        <f t="shared" si="3"/>
        <v>0.17505995203836933</v>
      </c>
      <c r="L18" s="3">
        <v>70</v>
      </c>
      <c r="M18" s="11">
        <f t="shared" si="4"/>
        <v>5.5955235811350923E-2</v>
      </c>
      <c r="N18" s="3">
        <f t="shared" si="5"/>
        <v>296</v>
      </c>
      <c r="O18" s="11">
        <f t="shared" si="6"/>
        <v>0.23661071143085532</v>
      </c>
      <c r="P18" s="3">
        <f>880+75</f>
        <v>955</v>
      </c>
      <c r="Q18" s="11">
        <f t="shared" si="7"/>
        <v>0.76338928856914468</v>
      </c>
    </row>
    <row r="19" spans="1:17" x14ac:dyDescent="0.25">
      <c r="A19" s="1">
        <v>46009</v>
      </c>
      <c r="B19" s="3">
        <f t="shared" si="0"/>
        <v>1997.54</v>
      </c>
      <c r="C19" s="3">
        <f t="shared" si="1"/>
        <v>188.46</v>
      </c>
      <c r="D19" s="3">
        <v>2186</v>
      </c>
      <c r="E19" s="3">
        <v>43.94</v>
      </c>
      <c r="F19" s="3">
        <v>144.52000000000001</v>
      </c>
      <c r="G19" s="3"/>
      <c r="H19" s="3">
        <f>511+88</f>
        <v>599</v>
      </c>
      <c r="I19" s="11">
        <f t="shared" si="2"/>
        <v>0.27401646843549865</v>
      </c>
      <c r="J19" s="3">
        <v>45</v>
      </c>
      <c r="K19" s="11">
        <f t="shared" si="3"/>
        <v>2.0585544373284539E-2</v>
      </c>
      <c r="L19" s="3">
        <v>60</v>
      </c>
      <c r="M19" s="11">
        <f t="shared" si="4"/>
        <v>2.7447392497712716E-2</v>
      </c>
      <c r="N19" s="3">
        <f t="shared" si="5"/>
        <v>858</v>
      </c>
      <c r="O19" s="11">
        <f t="shared" si="6"/>
        <v>0.39249771271729189</v>
      </c>
      <c r="P19" s="3">
        <f>999+88+241</f>
        <v>1328</v>
      </c>
      <c r="Q19" s="11">
        <f t="shared" si="7"/>
        <v>0.60750228728270816</v>
      </c>
    </row>
    <row r="20" spans="1:17" x14ac:dyDescent="0.25">
      <c r="A20" s="1">
        <v>46010</v>
      </c>
      <c r="B20" s="3">
        <f t="shared" si="0"/>
        <v>2685.68</v>
      </c>
      <c r="C20" s="3">
        <f t="shared" si="1"/>
        <v>241.32</v>
      </c>
      <c r="D20" s="3">
        <v>2927</v>
      </c>
      <c r="E20" s="3">
        <v>40.58</v>
      </c>
      <c r="F20" s="3">
        <v>200.74</v>
      </c>
      <c r="G20" s="3"/>
      <c r="H20" s="3">
        <f>417+172</f>
        <v>589</v>
      </c>
      <c r="I20" s="11">
        <f t="shared" si="2"/>
        <v>0.20122992825418518</v>
      </c>
      <c r="J20" s="3">
        <v>217</v>
      </c>
      <c r="K20" s="11">
        <f t="shared" si="3"/>
        <v>7.4137341988384009E-2</v>
      </c>
      <c r="L20" s="3">
        <v>0</v>
      </c>
      <c r="M20" s="11">
        <f t="shared" si="4"/>
        <v>0</v>
      </c>
      <c r="N20" s="3">
        <f t="shared" si="5"/>
        <v>1613</v>
      </c>
      <c r="O20" s="11">
        <f t="shared" si="6"/>
        <v>0.55107618722241203</v>
      </c>
      <c r="P20" s="3">
        <f>1142+172</f>
        <v>1314</v>
      </c>
      <c r="Q20" s="11">
        <f t="shared" si="7"/>
        <v>0.44892381277758803</v>
      </c>
    </row>
    <row r="21" spans="1:17" x14ac:dyDescent="0.25">
      <c r="A21" s="1">
        <v>46011</v>
      </c>
      <c r="B21" s="3">
        <f t="shared" si="0"/>
        <v>2556.3200000000002</v>
      </c>
      <c r="C21" s="3">
        <f t="shared" si="1"/>
        <v>227.68</v>
      </c>
      <c r="D21" s="3">
        <v>2784</v>
      </c>
      <c r="E21" s="3">
        <v>35.53</v>
      </c>
      <c r="F21" s="3">
        <v>192.15</v>
      </c>
      <c r="G21" s="3"/>
      <c r="H21" s="3">
        <f>105+122</f>
        <v>227</v>
      </c>
      <c r="I21" s="11">
        <f t="shared" si="2"/>
        <v>8.1537356321839075E-2</v>
      </c>
      <c r="J21" s="3">
        <v>307</v>
      </c>
      <c r="K21" s="11">
        <f t="shared" si="3"/>
        <v>0.11027298850574713</v>
      </c>
      <c r="L21" s="3">
        <v>145</v>
      </c>
      <c r="M21" s="11">
        <f t="shared" si="4"/>
        <v>5.2083333333333329E-2</v>
      </c>
      <c r="N21" s="3">
        <f t="shared" si="5"/>
        <v>550</v>
      </c>
      <c r="O21" s="11">
        <f t="shared" si="6"/>
        <v>0.19755747126436782</v>
      </c>
      <c r="P21" s="3">
        <f>1882+122+230</f>
        <v>2234</v>
      </c>
      <c r="Q21" s="11">
        <f t="shared" si="7"/>
        <v>0.80244252873563215</v>
      </c>
    </row>
    <row r="22" spans="1:17" x14ac:dyDescent="0.25">
      <c r="A22" s="1">
        <v>46012</v>
      </c>
      <c r="B22" s="3">
        <f t="shared" si="0"/>
        <v>1738.68</v>
      </c>
      <c r="C22" s="3">
        <f t="shared" si="1"/>
        <v>160.32</v>
      </c>
      <c r="D22" s="3">
        <v>1899</v>
      </c>
      <c r="E22" s="3">
        <v>32.54</v>
      </c>
      <c r="F22" s="3">
        <v>127.78</v>
      </c>
      <c r="G22" s="3"/>
      <c r="H22" s="3">
        <f>303+162</f>
        <v>465</v>
      </c>
      <c r="I22" s="11">
        <f t="shared" si="2"/>
        <v>0.24486571879936811</v>
      </c>
      <c r="J22" s="3">
        <v>114</v>
      </c>
      <c r="K22" s="11">
        <f t="shared" si="3"/>
        <v>6.0031595576619273E-2</v>
      </c>
      <c r="L22" s="3">
        <v>61</v>
      </c>
      <c r="M22" s="11">
        <f t="shared" si="4"/>
        <v>3.2122169562927863E-2</v>
      </c>
      <c r="N22" s="3">
        <f t="shared" si="5"/>
        <v>560</v>
      </c>
      <c r="O22" s="11">
        <f t="shared" si="6"/>
        <v>0.29489204844655087</v>
      </c>
      <c r="P22" s="3">
        <f>789+113+437</f>
        <v>1339</v>
      </c>
      <c r="Q22" s="11">
        <f t="shared" si="7"/>
        <v>0.70510795155344919</v>
      </c>
    </row>
    <row r="23" spans="1:17" x14ac:dyDescent="0.25">
      <c r="A23" s="1">
        <v>46013</v>
      </c>
      <c r="B23" s="3">
        <f t="shared" si="0"/>
        <v>2409.35</v>
      </c>
      <c r="C23" s="3">
        <f t="shared" si="1"/>
        <v>221.65</v>
      </c>
      <c r="D23" s="3">
        <v>2631</v>
      </c>
      <c r="E23" s="3">
        <v>44.32</v>
      </c>
      <c r="F23" s="3">
        <v>177.33</v>
      </c>
      <c r="G23" s="3"/>
      <c r="H23" s="3">
        <f>572+195</f>
        <v>767</v>
      </c>
      <c r="I23" s="11">
        <f t="shared" si="2"/>
        <v>0.29152413530976817</v>
      </c>
      <c r="J23" s="3">
        <v>457</v>
      </c>
      <c r="K23" s="11">
        <f t="shared" si="3"/>
        <v>0.17369821360699356</v>
      </c>
      <c r="L23" s="3">
        <v>107</v>
      </c>
      <c r="M23" s="11">
        <f t="shared" si="4"/>
        <v>4.0668947168377045E-2</v>
      </c>
      <c r="N23" s="3">
        <f t="shared" si="5"/>
        <v>1208</v>
      </c>
      <c r="O23" s="11">
        <f t="shared" si="6"/>
        <v>0.45914101102242499</v>
      </c>
      <c r="P23" s="3">
        <f>1115+195+113</f>
        <v>1423</v>
      </c>
      <c r="Q23" s="11">
        <f t="shared" si="7"/>
        <v>0.54085898897757512</v>
      </c>
    </row>
    <row r="24" spans="1:17" x14ac:dyDescent="0.25">
      <c r="A24" s="1">
        <v>46014</v>
      </c>
      <c r="B24" s="3">
        <f t="shared" si="0"/>
        <v>2883.36</v>
      </c>
      <c r="C24" s="3">
        <f t="shared" si="1"/>
        <v>266.64</v>
      </c>
      <c r="D24" s="3">
        <v>3150</v>
      </c>
      <c r="E24" s="3">
        <v>55.16</v>
      </c>
      <c r="F24" s="3">
        <v>211.48</v>
      </c>
      <c r="G24" s="3"/>
      <c r="H24" s="3">
        <f>55+38</f>
        <v>93</v>
      </c>
      <c r="I24" s="11">
        <f t="shared" si="2"/>
        <v>2.9523809523809525E-2</v>
      </c>
      <c r="J24" s="3">
        <v>911</v>
      </c>
      <c r="K24" s="11">
        <f t="shared" si="3"/>
        <v>0.28920634920634919</v>
      </c>
      <c r="L24" s="3">
        <v>35.700000000000003</v>
      </c>
      <c r="M24" s="11">
        <f t="shared" si="4"/>
        <v>1.1333333333333336E-2</v>
      </c>
      <c r="N24" s="3">
        <f t="shared" si="5"/>
        <v>1230</v>
      </c>
      <c r="O24" s="11">
        <f t="shared" si="6"/>
        <v>0.39047619047619053</v>
      </c>
      <c r="P24" s="3">
        <f>1647+38+235</f>
        <v>1920</v>
      </c>
      <c r="Q24" s="11">
        <f t="shared" si="7"/>
        <v>0.60952380952380947</v>
      </c>
    </row>
    <row r="25" spans="1:17" x14ac:dyDescent="0.25">
      <c r="A25" s="1">
        <v>46015</v>
      </c>
      <c r="B25" s="3">
        <f t="shared" si="0"/>
        <v>919.35</v>
      </c>
      <c r="C25" s="3">
        <f t="shared" si="1"/>
        <v>84.649999999999991</v>
      </c>
      <c r="D25" s="3">
        <v>1004</v>
      </c>
      <c r="E25" s="3">
        <v>17.02</v>
      </c>
      <c r="F25" s="3">
        <v>67.63</v>
      </c>
      <c r="G25" s="3"/>
      <c r="H25" s="3">
        <f>457+39</f>
        <v>496</v>
      </c>
      <c r="I25" s="11">
        <f t="shared" si="2"/>
        <v>0.49402390438247018</v>
      </c>
      <c r="J25" s="3">
        <v>63</v>
      </c>
      <c r="K25" s="11">
        <f t="shared" si="3"/>
        <v>6.2749003984063745E-2</v>
      </c>
      <c r="L25" s="3">
        <v>95</v>
      </c>
      <c r="M25" s="11">
        <f t="shared" si="4"/>
        <v>9.4621513944223121E-2</v>
      </c>
      <c r="N25" s="3">
        <f t="shared" si="5"/>
        <v>-186</v>
      </c>
      <c r="O25" s="11">
        <f t="shared" si="6"/>
        <v>-0.18525896414342632</v>
      </c>
      <c r="P25" s="3">
        <f>1098+39+53</f>
        <v>1190</v>
      </c>
      <c r="Q25" s="11">
        <f t="shared" si="7"/>
        <v>1.1852589641434264</v>
      </c>
    </row>
    <row r="26" spans="1:17" x14ac:dyDescent="0.25">
      <c r="A26" s="1">
        <v>46016</v>
      </c>
      <c r="B26" s="3">
        <f t="shared" si="0"/>
        <v>4376.3500000000004</v>
      </c>
      <c r="C26" s="3">
        <f t="shared" si="1"/>
        <v>438.65</v>
      </c>
      <c r="D26" s="3">
        <v>4815</v>
      </c>
      <c r="E26" s="3">
        <v>135.76</v>
      </c>
      <c r="F26" s="3">
        <v>302.89</v>
      </c>
      <c r="G26" s="3"/>
      <c r="H26" s="3">
        <f>700+210</f>
        <v>910</v>
      </c>
      <c r="I26" s="11">
        <f t="shared" si="2"/>
        <v>0.18899273104880582</v>
      </c>
      <c r="J26" s="3">
        <v>1940</v>
      </c>
      <c r="K26" s="11">
        <f t="shared" si="3"/>
        <v>0.402907580477674</v>
      </c>
      <c r="L26" s="3">
        <v>0</v>
      </c>
      <c r="M26" s="11">
        <f t="shared" si="4"/>
        <v>0</v>
      </c>
      <c r="N26" s="3">
        <f t="shared" si="5"/>
        <v>2273</v>
      </c>
      <c r="O26" s="11">
        <f t="shared" si="6"/>
        <v>0.47206645898234684</v>
      </c>
      <c r="P26" s="3">
        <f>1937+210+395</f>
        <v>2542</v>
      </c>
      <c r="Q26" s="11">
        <f t="shared" si="7"/>
        <v>0.52793354101765322</v>
      </c>
    </row>
    <row r="27" spans="1:17" x14ac:dyDescent="0.25">
      <c r="A27" s="1">
        <v>46017</v>
      </c>
      <c r="B27" s="3">
        <f t="shared" si="0"/>
        <v>1985.32</v>
      </c>
      <c r="C27" s="3">
        <f t="shared" si="1"/>
        <v>189.68</v>
      </c>
      <c r="D27" s="3">
        <v>2175</v>
      </c>
      <c r="E27" s="3">
        <v>47.31</v>
      </c>
      <c r="F27" s="3">
        <v>142.37</v>
      </c>
      <c r="G27" s="3"/>
      <c r="H27" s="3">
        <f>473+117</f>
        <v>590</v>
      </c>
      <c r="I27" s="11">
        <f t="shared" si="2"/>
        <v>0.27126436781609198</v>
      </c>
      <c r="J27" s="3">
        <v>406</v>
      </c>
      <c r="K27" s="11">
        <f t="shared" si="3"/>
        <v>0.18666666666666668</v>
      </c>
      <c r="L27" s="3">
        <v>223</v>
      </c>
      <c r="M27" s="11">
        <f t="shared" si="4"/>
        <v>0.1025287356321839</v>
      </c>
      <c r="N27" s="3">
        <f t="shared" si="5"/>
        <v>1102</v>
      </c>
      <c r="O27" s="11">
        <f t="shared" si="6"/>
        <v>0.5066666666666666</v>
      </c>
      <c r="P27" s="3">
        <f>638+117+318</f>
        <v>1073</v>
      </c>
      <c r="Q27" s="11">
        <f t="shared" si="7"/>
        <v>0.49333333333333335</v>
      </c>
    </row>
    <row r="28" spans="1:17" x14ac:dyDescent="0.25">
      <c r="A28" s="1">
        <v>46018</v>
      </c>
      <c r="B28" s="3">
        <f t="shared" si="0"/>
        <v>1742.25</v>
      </c>
      <c r="C28" s="3">
        <f t="shared" si="1"/>
        <v>169.75</v>
      </c>
      <c r="D28" s="3">
        <v>1912</v>
      </c>
      <c r="E28" s="3">
        <v>46.56</v>
      </c>
      <c r="F28" s="3">
        <v>123.19</v>
      </c>
      <c r="G28" s="3"/>
      <c r="H28" s="3">
        <f>447+195</f>
        <v>642</v>
      </c>
      <c r="I28" s="11">
        <f t="shared" si="2"/>
        <v>0.33577405857740589</v>
      </c>
      <c r="J28" s="3">
        <v>189</v>
      </c>
      <c r="K28" s="11">
        <f t="shared" si="3"/>
        <v>9.884937238493724E-2</v>
      </c>
      <c r="L28" s="3">
        <v>56.5</v>
      </c>
      <c r="M28" s="11">
        <f t="shared" si="4"/>
        <v>2.9550209205020921E-2</v>
      </c>
      <c r="N28" s="3">
        <f t="shared" si="5"/>
        <v>421</v>
      </c>
      <c r="O28" s="11">
        <f t="shared" si="6"/>
        <v>0.22018828451882844</v>
      </c>
      <c r="P28" s="3">
        <f>1043+195+253</f>
        <v>1491</v>
      </c>
      <c r="Q28" s="11">
        <f t="shared" si="7"/>
        <v>0.77981171548117145</v>
      </c>
    </row>
    <row r="29" spans="1:17" x14ac:dyDescent="0.25">
      <c r="A29" s="1">
        <v>46019</v>
      </c>
      <c r="B29" s="3">
        <f t="shared" si="0"/>
        <v>1617.75</v>
      </c>
      <c r="C29" s="3">
        <f t="shared" si="1"/>
        <v>151.25</v>
      </c>
      <c r="D29" s="3">
        <v>1769</v>
      </c>
      <c r="E29" s="3">
        <v>33.47</v>
      </c>
      <c r="F29" s="3">
        <v>117.78</v>
      </c>
      <c r="G29" s="3"/>
      <c r="H29" s="3">
        <f>415+32</f>
        <v>447</v>
      </c>
      <c r="I29" s="11">
        <f t="shared" si="2"/>
        <v>0.25268513284341432</v>
      </c>
      <c r="J29" s="3">
        <v>154</v>
      </c>
      <c r="K29" s="11">
        <f t="shared" si="3"/>
        <v>8.705483323911814E-2</v>
      </c>
      <c r="L29" s="3">
        <v>66</v>
      </c>
      <c r="M29" s="11">
        <f t="shared" si="4"/>
        <v>3.7309214245336342E-2</v>
      </c>
      <c r="N29" s="3">
        <f t="shared" si="5"/>
        <v>491</v>
      </c>
      <c r="O29" s="11">
        <f t="shared" si="6"/>
        <v>0.27755794234030523</v>
      </c>
      <c r="P29" s="3">
        <f>926+32+320</f>
        <v>1278</v>
      </c>
      <c r="Q29" s="11">
        <f t="shared" si="7"/>
        <v>0.72244205765969471</v>
      </c>
    </row>
    <row r="30" spans="1:17" x14ac:dyDescent="0.25">
      <c r="A30" s="1">
        <v>46020</v>
      </c>
      <c r="B30" s="3">
        <f t="shared" si="0"/>
        <v>1830.1100000000001</v>
      </c>
      <c r="C30" s="3">
        <f t="shared" si="1"/>
        <v>171.89</v>
      </c>
      <c r="D30" s="3">
        <v>2002</v>
      </c>
      <c r="E30" s="3">
        <v>39.08</v>
      </c>
      <c r="F30" s="3">
        <v>132.81</v>
      </c>
      <c r="G30" s="3"/>
      <c r="H30" s="3">
        <f>485+293</f>
        <v>778</v>
      </c>
      <c r="I30" s="11">
        <f t="shared" si="2"/>
        <v>0.38861138861138861</v>
      </c>
      <c r="J30" s="3">
        <v>249</v>
      </c>
      <c r="K30" s="11">
        <f t="shared" si="3"/>
        <v>0.12437562437562438</v>
      </c>
      <c r="L30" s="3">
        <v>0</v>
      </c>
      <c r="M30" s="11">
        <f t="shared" si="4"/>
        <v>0</v>
      </c>
      <c r="N30" s="3">
        <f t="shared" si="5"/>
        <v>525</v>
      </c>
      <c r="O30" s="11">
        <f t="shared" si="6"/>
        <v>0.26223776223776224</v>
      </c>
      <c r="P30" s="3">
        <f>1161+293+23</f>
        <v>1477</v>
      </c>
      <c r="Q30" s="11">
        <f t="shared" si="7"/>
        <v>0.7377622377622377</v>
      </c>
    </row>
    <row r="31" spans="1:17" x14ac:dyDescent="0.25">
      <c r="A31" s="1">
        <v>46021</v>
      </c>
      <c r="B31" s="3">
        <f t="shared" si="0"/>
        <v>2275.81</v>
      </c>
      <c r="C31" s="3">
        <f t="shared" si="1"/>
        <v>222.19</v>
      </c>
      <c r="D31" s="3">
        <v>2498</v>
      </c>
      <c r="E31" s="3">
        <v>61.52</v>
      </c>
      <c r="F31" s="3">
        <v>160.66999999999999</v>
      </c>
      <c r="G31" s="3"/>
      <c r="H31" s="3">
        <f>296+372</f>
        <v>668</v>
      </c>
      <c r="I31" s="11">
        <f t="shared" si="2"/>
        <v>0.26741393114491596</v>
      </c>
      <c r="J31" s="3">
        <v>609</v>
      </c>
      <c r="K31" s="11">
        <f t="shared" si="3"/>
        <v>0.24379503602882305</v>
      </c>
      <c r="L31" s="3">
        <v>0</v>
      </c>
      <c r="M31" s="11">
        <f t="shared" si="4"/>
        <v>0</v>
      </c>
      <c r="N31" s="3">
        <f t="shared" si="5"/>
        <v>877</v>
      </c>
      <c r="O31" s="11">
        <f t="shared" si="6"/>
        <v>0.35108086469175342</v>
      </c>
      <c r="P31" s="3">
        <f>1126+372+123</f>
        <v>1621</v>
      </c>
      <c r="Q31" s="11">
        <f t="shared" si="7"/>
        <v>0.64891913530824652</v>
      </c>
    </row>
    <row r="32" spans="1:17" x14ac:dyDescent="0.25">
      <c r="A32" s="1">
        <v>46022</v>
      </c>
      <c r="B32" s="3">
        <f t="shared" si="0"/>
        <v>1523.85</v>
      </c>
      <c r="C32" s="3">
        <f t="shared" si="1"/>
        <v>142.15</v>
      </c>
      <c r="D32" s="3">
        <v>1666</v>
      </c>
      <c r="E32" s="3">
        <v>31.04</v>
      </c>
      <c r="F32" s="3">
        <v>111.11</v>
      </c>
      <c r="G32" s="3"/>
      <c r="H32" s="3">
        <v>254</v>
      </c>
      <c r="I32" s="11">
        <f t="shared" si="2"/>
        <v>0.15246098439375749</v>
      </c>
      <c r="J32" s="3">
        <v>250</v>
      </c>
      <c r="K32" s="11">
        <f t="shared" si="3"/>
        <v>0.15006002400960383</v>
      </c>
      <c r="L32" s="3">
        <v>0</v>
      </c>
      <c r="M32" s="11">
        <f t="shared" si="4"/>
        <v>0</v>
      </c>
      <c r="N32" s="3">
        <f t="shared" si="5"/>
        <v>114</v>
      </c>
      <c r="O32" s="11">
        <f t="shared" si="6"/>
        <v>6.8427370948379349E-2</v>
      </c>
      <c r="P32" s="3">
        <f>1290+262</f>
        <v>1552</v>
      </c>
      <c r="Q32" s="11">
        <f t="shared" si="7"/>
        <v>0.93157262905162075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66D9-912A-4321-A1DC-D3A135873610}">
  <dimension ref="A1:F33"/>
  <sheetViews>
    <sheetView tabSelected="1" workbookViewId="0">
      <selection activeCell="I18" sqref="I18"/>
    </sheetView>
  </sheetViews>
  <sheetFormatPr defaultRowHeight="15" x14ac:dyDescent="0.25"/>
  <cols>
    <col min="1" max="1" width="28" bestFit="1" customWidth="1"/>
    <col min="2" max="2" width="19.85546875" bestFit="1" customWidth="1"/>
    <col min="3" max="3" width="18" bestFit="1" customWidth="1"/>
    <col min="4" max="4" width="27.42578125" bestFit="1" customWidth="1"/>
    <col min="5" max="5" width="24.28515625" bestFit="1" customWidth="1"/>
    <col min="6" max="6" width="13.140625" bestFit="1" customWidth="1"/>
    <col min="7" max="7" width="13.42578125" bestFit="1" customWidth="1"/>
    <col min="8" max="8" width="24.28515625" bestFit="1" customWidth="1"/>
    <col min="9" max="9" width="13.140625" bestFit="1" customWidth="1"/>
    <col min="10" max="10" width="17.5703125" bestFit="1" customWidth="1"/>
    <col min="11" max="11" width="13.85546875" bestFit="1" customWidth="1"/>
    <col min="12" max="12" width="24.5703125" bestFit="1" customWidth="1"/>
    <col min="13" max="13" width="14.42578125" bestFit="1" customWidth="1"/>
    <col min="14" max="14" width="25.140625" bestFit="1" customWidth="1"/>
    <col min="15" max="15" width="13.140625" bestFit="1" customWidth="1"/>
    <col min="16" max="16" width="23.85546875" bestFit="1" customWidth="1"/>
    <col min="17" max="17" width="20.42578125" bestFit="1" customWidth="1"/>
    <col min="18" max="18" width="23.140625" bestFit="1" customWidth="1"/>
    <col min="19" max="19" width="20.140625" bestFit="1" customWidth="1"/>
    <col min="20" max="20" width="22.85546875" bestFit="1" customWidth="1"/>
  </cols>
  <sheetData>
    <row r="1" spans="1:6" x14ac:dyDescent="0.25">
      <c r="A1" s="30" t="s">
        <v>1</v>
      </c>
      <c r="B1" s="24" t="s">
        <v>115</v>
      </c>
      <c r="C1" s="24" t="s">
        <v>114</v>
      </c>
      <c r="E1" s="22" t="s">
        <v>130</v>
      </c>
      <c r="F1" s="23"/>
    </row>
    <row r="2" spans="1:6" x14ac:dyDescent="0.25">
      <c r="A2" s="24" t="s">
        <v>60</v>
      </c>
      <c r="B2" s="29">
        <v>700</v>
      </c>
      <c r="C2" s="29">
        <v>161</v>
      </c>
      <c r="E2" s="24" t="s">
        <v>131</v>
      </c>
      <c r="F2" s="21">
        <v>58613.599999999999</v>
      </c>
    </row>
    <row r="3" spans="1:6" x14ac:dyDescent="0.25">
      <c r="A3" s="24" t="s">
        <v>56</v>
      </c>
      <c r="B3" s="29">
        <v>199.82999999999998</v>
      </c>
      <c r="C3" s="29">
        <v>45.97</v>
      </c>
      <c r="E3" s="24" t="s">
        <v>133</v>
      </c>
      <c r="F3" s="21">
        <v>5506.4000000000005</v>
      </c>
    </row>
    <row r="4" spans="1:6" x14ac:dyDescent="0.25">
      <c r="A4" s="24" t="s">
        <v>8</v>
      </c>
      <c r="B4" s="29">
        <v>2516.48</v>
      </c>
      <c r="C4" s="29">
        <v>255.35000000000002</v>
      </c>
      <c r="E4" s="24" t="s">
        <v>132</v>
      </c>
      <c r="F4" s="21">
        <v>64120</v>
      </c>
    </row>
    <row r="5" spans="1:6" x14ac:dyDescent="0.25">
      <c r="A5" s="24" t="s">
        <v>20</v>
      </c>
      <c r="B5" s="29">
        <v>4270.66</v>
      </c>
      <c r="C5" s="29">
        <v>266.98</v>
      </c>
      <c r="E5" s="24" t="s">
        <v>134</v>
      </c>
      <c r="F5" s="21">
        <v>13799</v>
      </c>
    </row>
    <row r="6" spans="1:6" x14ac:dyDescent="0.25">
      <c r="A6" s="24" t="s">
        <v>31</v>
      </c>
      <c r="B6" s="29">
        <v>193.29000000000002</v>
      </c>
      <c r="C6" s="29">
        <v>21.37</v>
      </c>
      <c r="E6" s="24" t="s">
        <v>118</v>
      </c>
      <c r="F6" s="25">
        <v>0.22068921404126543</v>
      </c>
    </row>
    <row r="7" spans="1:6" x14ac:dyDescent="0.25">
      <c r="A7" s="24" t="s">
        <v>39</v>
      </c>
      <c r="B7" s="29">
        <v>285.14</v>
      </c>
      <c r="C7" s="29">
        <v>65.58</v>
      </c>
      <c r="E7" s="24" t="s">
        <v>135</v>
      </c>
      <c r="F7" s="21">
        <v>10495</v>
      </c>
    </row>
    <row r="8" spans="1:6" x14ac:dyDescent="0.25">
      <c r="A8" s="24" t="s">
        <v>25</v>
      </c>
      <c r="B8" s="29">
        <v>1140.72</v>
      </c>
      <c r="C8" s="29">
        <v>219.69</v>
      </c>
      <c r="E8" s="24" t="s">
        <v>119</v>
      </c>
      <c r="F8" s="25">
        <v>0.15209219851653502</v>
      </c>
    </row>
    <row r="9" spans="1:6" x14ac:dyDescent="0.25">
      <c r="A9" s="24" t="s">
        <v>88</v>
      </c>
      <c r="B9" s="29">
        <v>201.92000000000002</v>
      </c>
      <c r="C9" s="29">
        <v>46.45</v>
      </c>
      <c r="E9" s="24" t="s">
        <v>136</v>
      </c>
      <c r="F9" s="21">
        <v>1512.2</v>
      </c>
    </row>
    <row r="10" spans="1:6" x14ac:dyDescent="0.25">
      <c r="A10" s="24" t="s">
        <v>37</v>
      </c>
      <c r="B10" s="29">
        <v>92.18</v>
      </c>
      <c r="C10" s="29">
        <v>4.6100000000000003</v>
      </c>
      <c r="E10" s="24" t="s">
        <v>117</v>
      </c>
      <c r="F10" s="25">
        <v>2.3844776305534054E-2</v>
      </c>
    </row>
    <row r="11" spans="1:6" x14ac:dyDescent="0.25">
      <c r="A11" s="24" t="s">
        <v>17</v>
      </c>
      <c r="B11" s="29">
        <v>332.07</v>
      </c>
      <c r="C11" s="29">
        <v>19.809999999999999</v>
      </c>
      <c r="E11" s="24" t="s">
        <v>137</v>
      </c>
      <c r="F11" s="21">
        <v>22558</v>
      </c>
    </row>
    <row r="12" spans="1:6" x14ac:dyDescent="0.25">
      <c r="A12" s="24" t="s">
        <v>93</v>
      </c>
      <c r="B12" s="29">
        <v>1068.57</v>
      </c>
      <c r="C12" s="29">
        <v>245.79</v>
      </c>
      <c r="E12" s="24" t="s">
        <v>120</v>
      </c>
      <c r="F12" s="25">
        <v>0.33845117163324856</v>
      </c>
    </row>
    <row r="13" spans="1:6" x14ac:dyDescent="0.25">
      <c r="A13" s="24" t="s">
        <v>96</v>
      </c>
      <c r="B13" s="29">
        <v>112</v>
      </c>
      <c r="C13" s="29">
        <v>8.9600000000000009</v>
      </c>
      <c r="E13" s="24" t="s">
        <v>138</v>
      </c>
      <c r="F13" s="21">
        <v>41562</v>
      </c>
    </row>
    <row r="14" spans="1:6" x14ac:dyDescent="0.25">
      <c r="A14" s="24" t="s">
        <v>87</v>
      </c>
      <c r="B14" s="29">
        <v>1343.58</v>
      </c>
      <c r="C14" s="29">
        <v>309.02999999999997</v>
      </c>
      <c r="E14" s="24" t="s">
        <v>121</v>
      </c>
      <c r="F14" s="25">
        <v>0.66154882836675133</v>
      </c>
    </row>
    <row r="15" spans="1:6" x14ac:dyDescent="0.25">
      <c r="A15" s="24" t="s">
        <v>46</v>
      </c>
      <c r="B15" s="29">
        <v>23124.61</v>
      </c>
      <c r="C15" s="29">
        <v>1351.13</v>
      </c>
    </row>
    <row r="16" spans="1:6" x14ac:dyDescent="0.25">
      <c r="A16" s="24" t="s">
        <v>63</v>
      </c>
      <c r="B16" s="29">
        <v>445.76</v>
      </c>
      <c r="C16" s="29">
        <v>28.21</v>
      </c>
    </row>
    <row r="17" spans="1:4" x14ac:dyDescent="0.25">
      <c r="A17" s="24" t="s">
        <v>52</v>
      </c>
      <c r="B17" s="29">
        <v>703.8</v>
      </c>
      <c r="C17" s="29">
        <v>145.07000000000002</v>
      </c>
    </row>
    <row r="18" spans="1:4" x14ac:dyDescent="0.25">
      <c r="A18" s="24" t="s">
        <v>50</v>
      </c>
      <c r="B18" s="29">
        <v>1476</v>
      </c>
      <c r="C18" s="29">
        <v>339.48</v>
      </c>
    </row>
    <row r="19" spans="1:4" x14ac:dyDescent="0.25">
      <c r="A19" s="24" t="s">
        <v>113</v>
      </c>
      <c r="B19" s="29">
        <v>38206.610000000008</v>
      </c>
      <c r="C19" s="29">
        <v>3534.4800000000005</v>
      </c>
    </row>
    <row r="22" spans="1:4" x14ac:dyDescent="0.25">
      <c r="A22" s="26" t="s">
        <v>116</v>
      </c>
      <c r="B22" s="27" t="s">
        <v>126</v>
      </c>
      <c r="C22" s="27" t="s">
        <v>125</v>
      </c>
      <c r="D22" s="27" t="s">
        <v>124</v>
      </c>
    </row>
    <row r="23" spans="1:4" x14ac:dyDescent="0.25">
      <c r="A23" s="27" t="s">
        <v>111</v>
      </c>
      <c r="B23" s="28">
        <v>3510.7702060000001</v>
      </c>
      <c r="C23" s="28">
        <v>2110.8265940000001</v>
      </c>
      <c r="D23" s="28">
        <v>5621.5968000000003</v>
      </c>
    </row>
    <row r="24" spans="1:4" x14ac:dyDescent="0.25">
      <c r="A24" s="27" t="s">
        <v>112</v>
      </c>
      <c r="B24" s="28">
        <v>5101.8369999999995</v>
      </c>
      <c r="C24" s="28">
        <v>3331.7629999999999</v>
      </c>
      <c r="D24" s="28">
        <v>8433.5999999999985</v>
      </c>
    </row>
    <row r="25" spans="1:4" x14ac:dyDescent="0.25">
      <c r="A25" s="27" t="s">
        <v>113</v>
      </c>
      <c r="B25" s="28">
        <v>8612.6072060000006</v>
      </c>
      <c r="C25" s="28">
        <v>5442.589594</v>
      </c>
      <c r="D25" s="28">
        <v>14055.196799999998</v>
      </c>
    </row>
    <row r="29" spans="1:4" x14ac:dyDescent="0.25">
      <c r="A29" s="20" t="s">
        <v>122</v>
      </c>
      <c r="B29" s="21">
        <f>GETPIVOTDATA("Revenue",$E$1)-GETPIVOTDATA("Total Net Cost",$A$1)-GETPIVOTDATA(" Total Expense Per Employee",$A$22)</f>
        <v>6351.7931999999928</v>
      </c>
    </row>
    <row r="30" spans="1:4" x14ac:dyDescent="0.25">
      <c r="A30" s="20" t="s">
        <v>123</v>
      </c>
      <c r="B30" s="21">
        <f>GETPIVOTDATA(" Total VAT",$E$1)-GETPIVOTDATA(" Total Expense VAT",$A$1)</f>
        <v>1971.92</v>
      </c>
    </row>
    <row r="31" spans="1:4" x14ac:dyDescent="0.25">
      <c r="A31" s="20" t="s">
        <v>127</v>
      </c>
      <c r="B31" s="21">
        <f>B29-B30</f>
        <v>4379.8731999999927</v>
      </c>
    </row>
    <row r="32" spans="1:4" x14ac:dyDescent="0.25">
      <c r="A32" s="20" t="s">
        <v>128</v>
      </c>
      <c r="B32" s="21">
        <f>(B31*12%)-300</f>
        <v>225.5847839999991</v>
      </c>
    </row>
    <row r="33" spans="1:2" x14ac:dyDescent="0.25">
      <c r="A33" s="20" t="s">
        <v>129</v>
      </c>
      <c r="B33" s="21">
        <f>B31-B32</f>
        <v>4154.288415999994</v>
      </c>
    </row>
  </sheetData>
  <pageMargins left="0.7" right="0.7" top="0.75" bottom="0.75" header="0.3" footer="0.3"/>
  <ignoredErrors>
    <ignoredError sqref="B3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490B5-3A3C-4D4B-A088-337D793EF7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December</vt:lpstr>
      <vt:lpstr>Empolyee</vt:lpstr>
      <vt:lpstr>List</vt:lpstr>
      <vt:lpstr>Sales</vt:lpstr>
      <vt:lpstr>Analysis</vt:lpstr>
      <vt:lpstr>Organization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Ashfak Ul Alam Sakib</dc:creator>
  <cp:lastModifiedBy>Ashfak Ul Alam Sakib</cp:lastModifiedBy>
  <cp:lastPrinted>2026-01-03T16:04:00Z</cp:lastPrinted>
  <dcterms:created xsi:type="dcterms:W3CDTF">2025-12-02T23:38:36Z</dcterms:created>
  <dcterms:modified xsi:type="dcterms:W3CDTF">2026-01-29T20:10:30Z</dcterms:modified>
</cp:coreProperties>
</file>